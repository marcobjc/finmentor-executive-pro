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ultracloud-my.sharepoint.com/personal/marcodj_ipiranga_ipiranga/Documents/Área de Trabalho/Marco/Marco (2021)/Modelos/"/>
    </mc:Choice>
  </mc:AlternateContent>
  <xr:revisionPtr revIDLastSave="0" documentId="8_{D2924607-1BC8-4C58-8B9C-EA66FC537CF3}" xr6:coauthVersionLast="47" xr6:coauthVersionMax="47" xr10:uidLastSave="{00000000-0000-0000-0000-000000000000}"/>
  <bookViews>
    <workbookView xWindow="20370" yWindow="-120" windowWidth="29040" windowHeight="15840" activeTab="3" xr2:uid="{CD969272-C4B5-4201-9DA3-6A5190E7CE13}"/>
  </bookViews>
  <sheets>
    <sheet name="Premissas" sheetId="3" r:id="rId1"/>
    <sheet name="DRE" sheetId="1" r:id="rId2"/>
    <sheet name="Balanço" sheetId="4" r:id="rId3"/>
    <sheet name="Fluxo de Caixa" sheetId="8" r:id="rId4"/>
    <sheet name="Investimentos" sheetId="6" r:id="rId5"/>
    <sheet name="Dívida" sheetId="7" r:id="rId6"/>
    <sheet name="Capital de Giro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8" l="1"/>
  <c r="F62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C48" i="8"/>
  <c r="F64" i="8"/>
  <c r="F63" i="8"/>
  <c r="C88" i="3"/>
  <c r="C70" i="3"/>
  <c r="C69" i="3" s="1"/>
  <c r="F47" i="8"/>
  <c r="C93" i="3"/>
  <c r="C89" i="3"/>
  <c r="C84" i="3"/>
  <c r="C79" i="3"/>
  <c r="C75" i="3"/>
  <c r="C85" i="3" s="1"/>
  <c r="C25" i="6"/>
  <c r="C19" i="6"/>
  <c r="C23" i="6"/>
  <c r="F17" i="6"/>
  <c r="C5" i="4"/>
  <c r="X5" i="4" s="1"/>
  <c r="C5" i="8"/>
  <c r="Y5" i="8" s="1"/>
  <c r="C5" i="6"/>
  <c r="U5" i="6" s="1"/>
  <c r="C5" i="7"/>
  <c r="S5" i="7" s="1"/>
  <c r="C5" i="9"/>
  <c r="Z5" i="9" s="1"/>
  <c r="C5" i="1"/>
  <c r="U5" i="1" s="1"/>
  <c r="C25" i="7"/>
  <c r="F15" i="7" s="1"/>
  <c r="C23" i="7"/>
  <c r="C22" i="7"/>
  <c r="C29" i="7"/>
  <c r="C67" i="3"/>
  <c r="C20" i="7"/>
  <c r="G20" i="7" s="1"/>
  <c r="C39" i="1"/>
  <c r="C38" i="1"/>
  <c r="C37" i="1"/>
  <c r="C36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G3" i="3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C17" i="1"/>
  <c r="C15" i="1"/>
  <c r="C13" i="1"/>
  <c r="C11" i="1"/>
  <c r="C64" i="1"/>
  <c r="C63" i="1"/>
  <c r="C62" i="1"/>
  <c r="C56" i="1"/>
  <c r="C55" i="1"/>
  <c r="C53" i="1"/>
  <c r="C52" i="1"/>
  <c r="C50" i="1"/>
  <c r="C49" i="1"/>
  <c r="C47" i="1"/>
  <c r="C46" i="1"/>
  <c r="F25" i="1"/>
  <c r="F24" i="1"/>
  <c r="F23" i="1"/>
  <c r="F22" i="1"/>
  <c r="C99" i="1"/>
  <c r="C103" i="1"/>
  <c r="C85" i="1"/>
  <c r="C90" i="3" l="1"/>
  <c r="C96" i="3" s="1"/>
  <c r="C56" i="8" s="1"/>
  <c r="V5" i="9"/>
  <c r="J5" i="7"/>
  <c r="L5" i="7"/>
  <c r="G5" i="7"/>
  <c r="R5" i="7"/>
  <c r="U5" i="7"/>
  <c r="H5" i="7"/>
  <c r="T5" i="7"/>
  <c r="I5" i="4"/>
  <c r="M5" i="7"/>
  <c r="W5" i="7"/>
  <c r="K5" i="4"/>
  <c r="N5" i="7"/>
  <c r="X5" i="7"/>
  <c r="J5" i="8"/>
  <c r="O5" i="7"/>
  <c r="V5" i="7"/>
  <c r="F5" i="7"/>
  <c r="P5" i="7"/>
  <c r="Z5" i="4"/>
  <c r="Z5" i="7"/>
  <c r="J5" i="4"/>
  <c r="I5" i="6"/>
  <c r="I5" i="1"/>
  <c r="K5" i="8"/>
  <c r="K5" i="6"/>
  <c r="X5" i="6"/>
  <c r="P5" i="1"/>
  <c r="O5" i="4"/>
  <c r="R5" i="8"/>
  <c r="N5" i="6"/>
  <c r="Y5" i="6"/>
  <c r="Q5" i="1"/>
  <c r="Q5" i="4"/>
  <c r="S5" i="8"/>
  <c r="O5" i="6"/>
  <c r="F5" i="9"/>
  <c r="H5" i="6"/>
  <c r="V5" i="6"/>
  <c r="X5" i="1"/>
  <c r="R5" i="4"/>
  <c r="Z5" i="8"/>
  <c r="P5" i="6"/>
  <c r="Y5" i="1"/>
  <c r="S5" i="4"/>
  <c r="F5" i="6"/>
  <c r="Q5" i="6"/>
  <c r="W5" i="6"/>
  <c r="G5" i="4"/>
  <c r="Y5" i="4"/>
  <c r="G5" i="6"/>
  <c r="S5" i="6"/>
  <c r="H5" i="1"/>
  <c r="F5" i="1"/>
  <c r="N5" i="1"/>
  <c r="V5" i="1"/>
  <c r="T5" i="9"/>
  <c r="C28" i="7"/>
  <c r="G5" i="1"/>
  <c r="O5" i="1"/>
  <c r="W5" i="1"/>
  <c r="U5" i="9"/>
  <c r="J5" i="1"/>
  <c r="R5" i="1"/>
  <c r="Z5" i="1"/>
  <c r="L5" i="9"/>
  <c r="K5" i="9"/>
  <c r="K5" i="1"/>
  <c r="S5" i="1"/>
  <c r="M5" i="9"/>
  <c r="L5" i="1"/>
  <c r="T5" i="1"/>
  <c r="N5" i="9"/>
  <c r="M5" i="1"/>
  <c r="S5" i="9"/>
  <c r="L5" i="4"/>
  <c r="T5" i="4"/>
  <c r="M5" i="4"/>
  <c r="U5" i="4"/>
  <c r="F5" i="4"/>
  <c r="N5" i="4"/>
  <c r="V5" i="4"/>
  <c r="W5" i="4"/>
  <c r="H5" i="4"/>
  <c r="P5" i="4"/>
  <c r="L5" i="8"/>
  <c r="M5" i="8"/>
  <c r="F5" i="8"/>
  <c r="N5" i="8"/>
  <c r="V5" i="8"/>
  <c r="G5" i="8"/>
  <c r="O5" i="8"/>
  <c r="W5" i="8"/>
  <c r="X5" i="8"/>
  <c r="T5" i="8"/>
  <c r="U5" i="8"/>
  <c r="H5" i="8"/>
  <c r="P5" i="8"/>
  <c r="I5" i="8"/>
  <c r="Q5" i="8"/>
  <c r="J5" i="6"/>
  <c r="R5" i="6"/>
  <c r="Z5" i="6"/>
  <c r="L5" i="6"/>
  <c r="T5" i="6"/>
  <c r="M5" i="6"/>
  <c r="I5" i="7"/>
  <c r="Q5" i="7"/>
  <c r="Y5" i="7"/>
  <c r="K5" i="7"/>
  <c r="G5" i="9"/>
  <c r="O5" i="9"/>
  <c r="W5" i="9"/>
  <c r="H5" i="9"/>
  <c r="P5" i="9"/>
  <c r="X5" i="9"/>
  <c r="I5" i="9"/>
  <c r="Q5" i="9"/>
  <c r="Y5" i="9"/>
  <c r="J5" i="9"/>
  <c r="R5" i="9"/>
  <c r="F31" i="7"/>
  <c r="C71" i="8" l="1"/>
  <c r="C27" i="7" l="1"/>
  <c r="C24" i="7"/>
  <c r="Z20" i="7"/>
  <c r="Z12" i="7" s="1"/>
  <c r="Z24" i="8" s="1"/>
  <c r="Y20" i="7"/>
  <c r="Y12" i="7" s="1"/>
  <c r="Y24" i="8" s="1"/>
  <c r="X20" i="7"/>
  <c r="X12" i="7" s="1"/>
  <c r="X24" i="8" s="1"/>
  <c r="W20" i="7"/>
  <c r="W12" i="7" s="1"/>
  <c r="W24" i="8" s="1"/>
  <c r="V20" i="7"/>
  <c r="V12" i="7" s="1"/>
  <c r="V24" i="8" s="1"/>
  <c r="U20" i="7"/>
  <c r="U12" i="7" s="1"/>
  <c r="U24" i="8" s="1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F20" i="7"/>
  <c r="F12" i="7" s="1"/>
  <c r="C6" i="9"/>
  <c r="G3" i="9"/>
  <c r="H3" i="9" s="1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G23" i="6"/>
  <c r="F13" i="6"/>
  <c r="F68" i="1" s="1"/>
  <c r="F24" i="7" l="1"/>
  <c r="F14" i="7" s="1"/>
  <c r="F25" i="8" s="1"/>
  <c r="F65" i="8" s="1"/>
  <c r="G24" i="7"/>
  <c r="M12" i="7"/>
  <c r="M24" i="8" s="1"/>
  <c r="J12" i="7"/>
  <c r="J24" i="8" s="1"/>
  <c r="N12" i="7"/>
  <c r="N24" i="8" s="1"/>
  <c r="O12" i="7"/>
  <c r="O24" i="8" s="1"/>
  <c r="H12" i="7"/>
  <c r="H24" i="8" s="1"/>
  <c r="P12" i="7"/>
  <c r="P24" i="8" s="1"/>
  <c r="I12" i="7"/>
  <c r="I24" i="8" s="1"/>
  <c r="Q12" i="7"/>
  <c r="Q24" i="8" s="1"/>
  <c r="R12" i="7"/>
  <c r="R24" i="8" s="1"/>
  <c r="K12" i="7"/>
  <c r="K24" i="8" s="1"/>
  <c r="S12" i="7"/>
  <c r="S24" i="8" s="1"/>
  <c r="L12" i="7"/>
  <c r="L24" i="8" s="1"/>
  <c r="T12" i="7"/>
  <c r="T24" i="8" s="1"/>
  <c r="F18" i="8"/>
  <c r="F51" i="8"/>
  <c r="F27" i="7"/>
  <c r="F13" i="7" s="1"/>
  <c r="F24" i="8"/>
  <c r="H6" i="9"/>
  <c r="I3" i="9"/>
  <c r="J3" i="9" s="1"/>
  <c r="J6" i="9" s="1"/>
  <c r="F6" i="9"/>
  <c r="G6" i="9"/>
  <c r="F73" i="1" l="1"/>
  <c r="F17" i="8"/>
  <c r="F66" i="8" s="1"/>
  <c r="F68" i="8" s="1"/>
  <c r="K3" i="9"/>
  <c r="L3" i="9" s="1"/>
  <c r="I6" i="9"/>
  <c r="K6" i="9" l="1"/>
  <c r="M3" i="9"/>
  <c r="L6" i="9"/>
  <c r="N3" i="9" l="1"/>
  <c r="M6" i="9"/>
  <c r="O3" i="9" l="1"/>
  <c r="N6" i="9"/>
  <c r="P3" i="9" l="1"/>
  <c r="O6" i="9"/>
  <c r="Q3" i="9" l="1"/>
  <c r="P6" i="9"/>
  <c r="R3" i="9" l="1"/>
  <c r="Q6" i="9"/>
  <c r="R6" i="9" l="1"/>
  <c r="S3" i="9"/>
  <c r="T3" i="9" l="1"/>
  <c r="S6" i="9"/>
  <c r="U3" i="9" l="1"/>
  <c r="T6" i="9"/>
  <c r="V3" i="9" l="1"/>
  <c r="U6" i="9"/>
  <c r="W3" i="9" l="1"/>
  <c r="V6" i="9"/>
  <c r="X3" i="9" l="1"/>
  <c r="W6" i="9"/>
  <c r="X6" i="9" l="1"/>
  <c r="Y3" i="9"/>
  <c r="Z3" i="9" l="1"/>
  <c r="Z6" i="9" s="1"/>
  <c r="Y6" i="9"/>
  <c r="C24" i="6" l="1"/>
  <c r="C18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F50" i="8" s="1"/>
  <c r="C6" i="8"/>
  <c r="G3" i="8"/>
  <c r="H3" i="8" s="1"/>
  <c r="C6" i="7"/>
  <c r="G3" i="7"/>
  <c r="C6" i="6"/>
  <c r="G3" i="6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C6" i="4"/>
  <c r="G3" i="4"/>
  <c r="H3" i="4" s="1"/>
  <c r="I3" i="4" s="1"/>
  <c r="J3" i="4" s="1"/>
  <c r="K3" i="4" s="1"/>
  <c r="L3" i="4" s="1"/>
  <c r="M3" i="4" s="1"/>
  <c r="N3" i="4" s="1"/>
  <c r="O3" i="4" s="1"/>
  <c r="F60" i="1"/>
  <c r="F43" i="1"/>
  <c r="F32" i="1"/>
  <c r="F31" i="1"/>
  <c r="F30" i="1"/>
  <c r="F29" i="1"/>
  <c r="G17" i="1"/>
  <c r="G15" i="1"/>
  <c r="H15" i="1" s="1"/>
  <c r="G13" i="1"/>
  <c r="G11" i="1"/>
  <c r="H11" i="1" s="1"/>
  <c r="I11" i="1" s="1"/>
  <c r="C6" i="1"/>
  <c r="G3" i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U21" i="8" l="1"/>
  <c r="U20" i="8" s="1"/>
  <c r="U50" i="8"/>
  <c r="W21" i="8"/>
  <c r="W20" i="8" s="1"/>
  <c r="W50" i="8"/>
  <c r="H21" i="8"/>
  <c r="H20" i="8" s="1"/>
  <c r="H50" i="8"/>
  <c r="P21" i="8"/>
  <c r="P20" i="8" s="1"/>
  <c r="P50" i="8"/>
  <c r="X21" i="8"/>
  <c r="X20" i="8" s="1"/>
  <c r="X50" i="8"/>
  <c r="O21" i="8"/>
  <c r="O20" i="8" s="1"/>
  <c r="O50" i="8"/>
  <c r="I21" i="8"/>
  <c r="I20" i="8" s="1"/>
  <c r="I50" i="8"/>
  <c r="Q21" i="8"/>
  <c r="Q20" i="8" s="1"/>
  <c r="Q50" i="8"/>
  <c r="Y21" i="8"/>
  <c r="Y20" i="8" s="1"/>
  <c r="Y50" i="8"/>
  <c r="N21" i="8"/>
  <c r="N20" i="8" s="1"/>
  <c r="N50" i="8"/>
  <c r="J21" i="8"/>
  <c r="J20" i="8" s="1"/>
  <c r="J50" i="8"/>
  <c r="R21" i="8"/>
  <c r="R20" i="8" s="1"/>
  <c r="R50" i="8"/>
  <c r="Z21" i="8"/>
  <c r="Z20" i="8" s="1"/>
  <c r="Z50" i="8"/>
  <c r="M21" i="8"/>
  <c r="M20" i="8" s="1"/>
  <c r="M50" i="8"/>
  <c r="V21" i="8"/>
  <c r="V50" i="8"/>
  <c r="K21" i="8"/>
  <c r="K20" i="8" s="1"/>
  <c r="K50" i="8"/>
  <c r="S21" i="8"/>
  <c r="S20" i="8" s="1"/>
  <c r="S50" i="8"/>
  <c r="G21" i="8"/>
  <c r="G20" i="8" s="1"/>
  <c r="G50" i="8"/>
  <c r="L21" i="8"/>
  <c r="L20" i="8" s="1"/>
  <c r="L50" i="8"/>
  <c r="T21" i="8"/>
  <c r="T20" i="8" s="1"/>
  <c r="T50" i="8"/>
  <c r="H6" i="4"/>
  <c r="F23" i="9"/>
  <c r="F24" i="9" s="1"/>
  <c r="F12" i="9" s="1"/>
  <c r="F13" i="4" s="1"/>
  <c r="F28" i="9"/>
  <c r="F29" i="9" s="1"/>
  <c r="F13" i="9" s="1"/>
  <c r="G15" i="7"/>
  <c r="V20" i="8"/>
  <c r="F14" i="6"/>
  <c r="F21" i="8"/>
  <c r="P18" i="6"/>
  <c r="I18" i="6"/>
  <c r="Q18" i="6"/>
  <c r="H18" i="6"/>
  <c r="L18" i="6"/>
  <c r="O18" i="6"/>
  <c r="R18" i="6"/>
  <c r="G18" i="6"/>
  <c r="M18" i="6"/>
  <c r="S18" i="6"/>
  <c r="N18" i="6"/>
  <c r="K18" i="6"/>
  <c r="J18" i="6"/>
  <c r="G24" i="6"/>
  <c r="O24" i="6"/>
  <c r="I24" i="6"/>
  <c r="N24" i="6"/>
  <c r="L24" i="6"/>
  <c r="H24" i="6"/>
  <c r="K24" i="6"/>
  <c r="S24" i="6"/>
  <c r="X24" i="6"/>
  <c r="R24" i="6"/>
  <c r="Q24" i="6"/>
  <c r="J24" i="6"/>
  <c r="M24" i="6"/>
  <c r="P24" i="6"/>
  <c r="Y24" i="6"/>
  <c r="Z24" i="6"/>
  <c r="I6" i="1"/>
  <c r="I47" i="1" s="1"/>
  <c r="G6" i="4"/>
  <c r="H3" i="7"/>
  <c r="I3" i="8"/>
  <c r="H6" i="8"/>
  <c r="F6" i="8"/>
  <c r="G6" i="8"/>
  <c r="G6" i="7"/>
  <c r="F6" i="7"/>
  <c r="T3" i="6"/>
  <c r="U3" i="6" s="1"/>
  <c r="V3" i="6" s="1"/>
  <c r="W3" i="6" s="1"/>
  <c r="X3" i="6" s="1"/>
  <c r="Y3" i="6" s="1"/>
  <c r="Z3" i="6" s="1"/>
  <c r="Z6" i="6" s="1"/>
  <c r="S6" i="6"/>
  <c r="R6" i="6"/>
  <c r="J6" i="6"/>
  <c r="Q6" i="6"/>
  <c r="I6" i="6"/>
  <c r="P6" i="6"/>
  <c r="H6" i="6"/>
  <c r="F6" i="6"/>
  <c r="O6" i="6"/>
  <c r="G6" i="6"/>
  <c r="N6" i="6"/>
  <c r="K6" i="6"/>
  <c r="L6" i="6"/>
  <c r="M6" i="6"/>
  <c r="P3" i="4"/>
  <c r="O6" i="4"/>
  <c r="J6" i="4"/>
  <c r="I6" i="4"/>
  <c r="K6" i="4"/>
  <c r="L6" i="4"/>
  <c r="M6" i="4"/>
  <c r="F6" i="4"/>
  <c r="N6" i="4"/>
  <c r="G23" i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G24" i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F27" i="1"/>
  <c r="F18" i="9" s="1"/>
  <c r="F19" i="9" s="1"/>
  <c r="F11" i="9" s="1"/>
  <c r="I15" i="1"/>
  <c r="J11" i="1"/>
  <c r="G25" i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H13" i="1"/>
  <c r="H17" i="1"/>
  <c r="G22" i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O6" i="1"/>
  <c r="P6" i="1"/>
  <c r="F6" i="1"/>
  <c r="M6" i="1"/>
  <c r="G6" i="1"/>
  <c r="T6" i="1"/>
  <c r="L6" i="1"/>
  <c r="X6" i="1"/>
  <c r="W6" i="1"/>
  <c r="N6" i="1"/>
  <c r="U6" i="1"/>
  <c r="H6" i="1"/>
  <c r="S6" i="1"/>
  <c r="K6" i="1"/>
  <c r="V6" i="1"/>
  <c r="R6" i="1"/>
  <c r="J6" i="1"/>
  <c r="Z6" i="1"/>
  <c r="Y6" i="1"/>
  <c r="Q6" i="1"/>
  <c r="H50" i="1" l="1"/>
  <c r="I53" i="1"/>
  <c r="H56" i="1"/>
  <c r="F12" i="4"/>
  <c r="F14" i="8"/>
  <c r="F8" i="9"/>
  <c r="F10" i="9"/>
  <c r="F14" i="9" s="1"/>
  <c r="F52" i="8" s="1"/>
  <c r="F19" i="4"/>
  <c r="F15" i="8"/>
  <c r="F16" i="8"/>
  <c r="F20" i="8"/>
  <c r="K13" i="6"/>
  <c r="K68" i="1" s="1"/>
  <c r="G11" i="6"/>
  <c r="F15" i="4"/>
  <c r="I13" i="6"/>
  <c r="I68" i="1" s="1"/>
  <c r="Q13" i="6"/>
  <c r="Q68" i="1" s="1"/>
  <c r="R13" i="6"/>
  <c r="R68" i="1" s="1"/>
  <c r="P13" i="6"/>
  <c r="P68" i="1" s="1"/>
  <c r="O13" i="6"/>
  <c r="O68" i="1" s="1"/>
  <c r="L13" i="6"/>
  <c r="L68" i="1" s="1"/>
  <c r="J13" i="6"/>
  <c r="J68" i="1" s="1"/>
  <c r="S13" i="6"/>
  <c r="S68" i="1" s="1"/>
  <c r="N13" i="6"/>
  <c r="N68" i="1" s="1"/>
  <c r="G13" i="6"/>
  <c r="T64" i="1"/>
  <c r="T52" i="1"/>
  <c r="T62" i="1"/>
  <c r="T63" i="1"/>
  <c r="T46" i="1"/>
  <c r="T55" i="1"/>
  <c r="T49" i="1"/>
  <c r="G46" i="1"/>
  <c r="G52" i="1"/>
  <c r="G64" i="1"/>
  <c r="G55" i="1"/>
  <c r="G63" i="1"/>
  <c r="G62" i="1"/>
  <c r="G49" i="1"/>
  <c r="T18" i="6"/>
  <c r="Y18" i="6"/>
  <c r="Y13" i="6" s="1"/>
  <c r="Y68" i="1" s="1"/>
  <c r="R52" i="1"/>
  <c r="R62" i="1"/>
  <c r="R46" i="1"/>
  <c r="R64" i="1"/>
  <c r="R55" i="1"/>
  <c r="R49" i="1"/>
  <c r="R63" i="1"/>
  <c r="S62" i="1"/>
  <c r="S52" i="1"/>
  <c r="S64" i="1"/>
  <c r="S46" i="1"/>
  <c r="S55" i="1"/>
  <c r="S63" i="1"/>
  <c r="S49" i="1"/>
  <c r="Q63" i="1"/>
  <c r="Q46" i="1"/>
  <c r="Q62" i="1"/>
  <c r="Q55" i="1"/>
  <c r="Q64" i="1"/>
  <c r="Q49" i="1"/>
  <c r="Q52" i="1"/>
  <c r="H63" i="1"/>
  <c r="H46" i="1"/>
  <c r="H55" i="1"/>
  <c r="H62" i="1"/>
  <c r="H49" i="1"/>
  <c r="H64" i="1"/>
  <c r="H52" i="1"/>
  <c r="M64" i="1"/>
  <c r="M49" i="1"/>
  <c r="M63" i="1"/>
  <c r="M52" i="1"/>
  <c r="M46" i="1"/>
  <c r="M62" i="1"/>
  <c r="M55" i="1"/>
  <c r="J47" i="1"/>
  <c r="H47" i="1"/>
  <c r="M13" i="6"/>
  <c r="M68" i="1" s="1"/>
  <c r="X63" i="1"/>
  <c r="X46" i="1"/>
  <c r="X55" i="1"/>
  <c r="X62" i="1"/>
  <c r="X49" i="1"/>
  <c r="X64" i="1"/>
  <c r="X52" i="1"/>
  <c r="G47" i="1"/>
  <c r="U24" i="6"/>
  <c r="H13" i="6"/>
  <c r="Z18" i="6"/>
  <c r="Z13" i="6" s="1"/>
  <c r="Z68" i="1" s="1"/>
  <c r="Y52" i="1"/>
  <c r="Y46" i="1"/>
  <c r="Y62" i="1"/>
  <c r="Y55" i="1"/>
  <c r="Y64" i="1"/>
  <c r="Y49" i="1"/>
  <c r="Y63" i="1"/>
  <c r="H6" i="7"/>
  <c r="I46" i="1"/>
  <c r="I45" i="1" s="1"/>
  <c r="I62" i="1"/>
  <c r="I55" i="1"/>
  <c r="I52" i="1"/>
  <c r="I64" i="1"/>
  <c r="I49" i="1"/>
  <c r="I63" i="1"/>
  <c r="U18" i="6"/>
  <c r="X18" i="6"/>
  <c r="X13" i="6" s="1"/>
  <c r="X68" i="1" s="1"/>
  <c r="K62" i="1"/>
  <c r="K52" i="1"/>
  <c r="K64" i="1"/>
  <c r="K46" i="1"/>
  <c r="K55" i="1"/>
  <c r="K63" i="1"/>
  <c r="K49" i="1"/>
  <c r="U64" i="1"/>
  <c r="U49" i="1"/>
  <c r="U63" i="1"/>
  <c r="U52" i="1"/>
  <c r="U46" i="1"/>
  <c r="U62" i="1"/>
  <c r="U55" i="1"/>
  <c r="Z52" i="1"/>
  <c r="Z62" i="1"/>
  <c r="Z46" i="1"/>
  <c r="Z64" i="1"/>
  <c r="Z55" i="1"/>
  <c r="Z49" i="1"/>
  <c r="Z63" i="1"/>
  <c r="N49" i="1"/>
  <c r="N63" i="1"/>
  <c r="N55" i="1"/>
  <c r="N52" i="1"/>
  <c r="N62" i="1"/>
  <c r="N64" i="1"/>
  <c r="N46" i="1"/>
  <c r="P63" i="1"/>
  <c r="P46" i="1"/>
  <c r="P55" i="1"/>
  <c r="P62" i="1"/>
  <c r="P49" i="1"/>
  <c r="P64" i="1"/>
  <c r="P52" i="1"/>
  <c r="J52" i="1"/>
  <c r="J62" i="1"/>
  <c r="J46" i="1"/>
  <c r="J64" i="1"/>
  <c r="J55" i="1"/>
  <c r="J49" i="1"/>
  <c r="J63" i="1"/>
  <c r="W55" i="1"/>
  <c r="W63" i="1"/>
  <c r="W49" i="1"/>
  <c r="W62" i="1"/>
  <c r="W52" i="1"/>
  <c r="W46" i="1"/>
  <c r="W64" i="1"/>
  <c r="O55" i="1"/>
  <c r="O63" i="1"/>
  <c r="O49" i="1"/>
  <c r="O46" i="1"/>
  <c r="O62" i="1"/>
  <c r="O52" i="1"/>
  <c r="O64" i="1"/>
  <c r="G50" i="1"/>
  <c r="W24" i="6"/>
  <c r="W18" i="6"/>
  <c r="G56" i="1"/>
  <c r="V49" i="1"/>
  <c r="V63" i="1"/>
  <c r="V52" i="1"/>
  <c r="V62" i="1"/>
  <c r="V64" i="1"/>
  <c r="V55" i="1"/>
  <c r="V46" i="1"/>
  <c r="L62" i="1"/>
  <c r="L49" i="1"/>
  <c r="L64" i="1"/>
  <c r="L52" i="1"/>
  <c r="L63" i="1"/>
  <c r="L46" i="1"/>
  <c r="L55" i="1"/>
  <c r="G53" i="1"/>
  <c r="V24" i="6"/>
  <c r="T24" i="6"/>
  <c r="V18" i="6"/>
  <c r="H53" i="1"/>
  <c r="I3" i="7"/>
  <c r="I31" i="7" s="1"/>
  <c r="F39" i="1"/>
  <c r="U6" i="6"/>
  <c r="Y6" i="6"/>
  <c r="V6" i="6"/>
  <c r="J3" i="8"/>
  <c r="I6" i="8"/>
  <c r="X6" i="6"/>
  <c r="T6" i="6"/>
  <c r="W6" i="6"/>
  <c r="Q3" i="4"/>
  <c r="P6" i="4"/>
  <c r="F36" i="1"/>
  <c r="F38" i="1"/>
  <c r="F37" i="1"/>
  <c r="G31" i="1"/>
  <c r="H31" i="1"/>
  <c r="G30" i="1"/>
  <c r="J15" i="1"/>
  <c r="J53" i="1" s="1"/>
  <c r="I31" i="1"/>
  <c r="I17" i="1"/>
  <c r="I56" i="1" s="1"/>
  <c r="H32" i="1"/>
  <c r="G32" i="1"/>
  <c r="I13" i="1"/>
  <c r="I50" i="1" s="1"/>
  <c r="H30" i="1"/>
  <c r="G29" i="1"/>
  <c r="I29" i="1"/>
  <c r="H29" i="1"/>
  <c r="K11" i="1"/>
  <c r="K47" i="1" s="1"/>
  <c r="J29" i="1"/>
  <c r="N18" i="8" l="1"/>
  <c r="N64" i="8"/>
  <c r="J18" i="8"/>
  <c r="J64" i="8"/>
  <c r="Y18" i="8"/>
  <c r="Y64" i="8"/>
  <c r="Q18" i="8"/>
  <c r="Q64" i="8"/>
  <c r="M18" i="8"/>
  <c r="M64" i="8"/>
  <c r="L18" i="8"/>
  <c r="L64" i="8"/>
  <c r="K18" i="8"/>
  <c r="K64" i="8"/>
  <c r="S18" i="8"/>
  <c r="S64" i="8"/>
  <c r="O18" i="8"/>
  <c r="O64" i="8"/>
  <c r="X18" i="8"/>
  <c r="X64" i="8"/>
  <c r="P18" i="8"/>
  <c r="P64" i="8"/>
  <c r="I18" i="8"/>
  <c r="I64" i="8"/>
  <c r="Z18" i="8"/>
  <c r="Z64" i="8"/>
  <c r="R18" i="8"/>
  <c r="R64" i="8"/>
  <c r="I51" i="1"/>
  <c r="H48" i="1"/>
  <c r="H54" i="1"/>
  <c r="Q60" i="1"/>
  <c r="V60" i="1"/>
  <c r="L60" i="1"/>
  <c r="K51" i="8"/>
  <c r="Y51" i="8"/>
  <c r="X51" i="8"/>
  <c r="P51" i="8"/>
  <c r="R51" i="8"/>
  <c r="N51" i="8"/>
  <c r="I51" i="8"/>
  <c r="M51" i="8"/>
  <c r="S51" i="8"/>
  <c r="Q51" i="8"/>
  <c r="J51" i="8"/>
  <c r="L51" i="8"/>
  <c r="Z51" i="8"/>
  <c r="O51" i="8"/>
  <c r="J60" i="1"/>
  <c r="U60" i="1"/>
  <c r="Y60" i="1"/>
  <c r="H60" i="1"/>
  <c r="O60" i="1"/>
  <c r="S60" i="1"/>
  <c r="G60" i="1"/>
  <c r="N60" i="1"/>
  <c r="K60" i="1"/>
  <c r="I60" i="1"/>
  <c r="T60" i="1"/>
  <c r="P60" i="1"/>
  <c r="Z60" i="1"/>
  <c r="X60" i="1"/>
  <c r="M60" i="1"/>
  <c r="R60" i="1"/>
  <c r="W60" i="1"/>
  <c r="J51" i="1"/>
  <c r="K45" i="1"/>
  <c r="I48" i="1"/>
  <c r="H45" i="1"/>
  <c r="T13" i="6"/>
  <c r="T68" i="1" s="1"/>
  <c r="W13" i="6"/>
  <c r="W68" i="1" s="1"/>
  <c r="V13" i="6"/>
  <c r="V68" i="1" s="1"/>
  <c r="G68" i="1"/>
  <c r="G14" i="6"/>
  <c r="I54" i="1"/>
  <c r="G48" i="1"/>
  <c r="J45" i="1"/>
  <c r="H51" i="1"/>
  <c r="H68" i="1"/>
  <c r="G54" i="1"/>
  <c r="U13" i="6"/>
  <c r="U68" i="1" s="1"/>
  <c r="G45" i="1"/>
  <c r="G51" i="1"/>
  <c r="J3" i="7"/>
  <c r="J31" i="7" s="1"/>
  <c r="I6" i="7"/>
  <c r="K3" i="8"/>
  <c r="J6" i="8"/>
  <c r="R3" i="4"/>
  <c r="Q6" i="4"/>
  <c r="F34" i="1"/>
  <c r="F41" i="1" s="1"/>
  <c r="F58" i="1" s="1"/>
  <c r="F66" i="1" s="1"/>
  <c r="F70" i="1" s="1"/>
  <c r="J17" i="1"/>
  <c r="J56" i="1" s="1"/>
  <c r="J54" i="1" s="1"/>
  <c r="I32" i="1"/>
  <c r="H27" i="1"/>
  <c r="H18" i="9" s="1"/>
  <c r="H19" i="9" s="1"/>
  <c r="H11" i="9" s="1"/>
  <c r="G27" i="1"/>
  <c r="G18" i="9" s="1"/>
  <c r="G19" i="9" s="1"/>
  <c r="G11" i="9" s="1"/>
  <c r="G14" i="8" s="1"/>
  <c r="K15" i="1"/>
  <c r="K53" i="1" s="1"/>
  <c r="K51" i="1" s="1"/>
  <c r="J31" i="1"/>
  <c r="L11" i="1"/>
  <c r="L47" i="1" s="1"/>
  <c r="L45" i="1" s="1"/>
  <c r="K29" i="1"/>
  <c r="J13" i="1"/>
  <c r="J50" i="1" s="1"/>
  <c r="J48" i="1" s="1"/>
  <c r="I30" i="1"/>
  <c r="W18" i="8" l="1"/>
  <c r="W64" i="8"/>
  <c r="V18" i="8"/>
  <c r="V64" i="8"/>
  <c r="T18" i="8"/>
  <c r="T64" i="8"/>
  <c r="H18" i="8"/>
  <c r="H64" i="8"/>
  <c r="U18" i="8"/>
  <c r="U64" i="8"/>
  <c r="G18" i="8"/>
  <c r="G64" i="8"/>
  <c r="I27" i="1"/>
  <c r="I18" i="9" s="1"/>
  <c r="I19" i="9" s="1"/>
  <c r="I11" i="9" s="1"/>
  <c r="I14" i="8" s="1"/>
  <c r="H43" i="1"/>
  <c r="H23" i="9" s="1"/>
  <c r="H24" i="9" s="1"/>
  <c r="H12" i="9" s="1"/>
  <c r="H14" i="8"/>
  <c r="F75" i="1"/>
  <c r="F84" i="1" s="1"/>
  <c r="F85" i="1" s="1"/>
  <c r="F12" i="8" s="1"/>
  <c r="F48" i="8"/>
  <c r="F49" i="8" s="1"/>
  <c r="F53" i="8" s="1"/>
  <c r="T51" i="8"/>
  <c r="U51" i="8"/>
  <c r="G51" i="8"/>
  <c r="V51" i="8"/>
  <c r="H51" i="8"/>
  <c r="W51" i="8"/>
  <c r="I43" i="1"/>
  <c r="I23" i="9" s="1"/>
  <c r="I24" i="9" s="1"/>
  <c r="I12" i="9" s="1"/>
  <c r="J43" i="1"/>
  <c r="J23" i="9" s="1"/>
  <c r="J24" i="9" s="1"/>
  <c r="J12" i="9" s="1"/>
  <c r="G12" i="4"/>
  <c r="H12" i="4"/>
  <c r="H11" i="6"/>
  <c r="H14" i="6" s="1"/>
  <c r="G15" i="4"/>
  <c r="G43" i="1"/>
  <c r="K3" i="7"/>
  <c r="K31" i="7" s="1"/>
  <c r="J6" i="7"/>
  <c r="L3" i="8"/>
  <c r="K6" i="8"/>
  <c r="S3" i="4"/>
  <c r="R6" i="4"/>
  <c r="I36" i="1"/>
  <c r="H36" i="1"/>
  <c r="H38" i="1"/>
  <c r="H37" i="1"/>
  <c r="H39" i="1"/>
  <c r="K13" i="1"/>
  <c r="K50" i="1" s="1"/>
  <c r="K48" i="1" s="1"/>
  <c r="J30" i="1"/>
  <c r="M11" i="1"/>
  <c r="M47" i="1" s="1"/>
  <c r="M45" i="1" s="1"/>
  <c r="L29" i="1"/>
  <c r="L15" i="1"/>
  <c r="L53" i="1" s="1"/>
  <c r="L51" i="1" s="1"/>
  <c r="K31" i="1"/>
  <c r="K17" i="1"/>
  <c r="K56" i="1" s="1"/>
  <c r="K54" i="1" s="1"/>
  <c r="J32" i="1"/>
  <c r="G37" i="1"/>
  <c r="G39" i="1"/>
  <c r="G38" i="1"/>
  <c r="G36" i="1"/>
  <c r="I39" i="1" l="1"/>
  <c r="I38" i="1"/>
  <c r="I37" i="1"/>
  <c r="I12" i="4"/>
  <c r="F99" i="1"/>
  <c r="F102" i="1" s="1"/>
  <c r="F92" i="1"/>
  <c r="F98" i="1"/>
  <c r="F103" i="1"/>
  <c r="F79" i="1" s="1"/>
  <c r="F91" i="1"/>
  <c r="I28" i="9"/>
  <c r="I29" i="9" s="1"/>
  <c r="I13" i="9" s="1"/>
  <c r="I10" i="9" s="1"/>
  <c r="H28" i="9"/>
  <c r="H29" i="9" s="1"/>
  <c r="H13" i="9" s="1"/>
  <c r="I13" i="4"/>
  <c r="I15" i="8"/>
  <c r="H13" i="4"/>
  <c r="J13" i="4"/>
  <c r="J15" i="8"/>
  <c r="J28" i="9"/>
  <c r="J29" i="9" s="1"/>
  <c r="J13" i="9" s="1"/>
  <c r="G23" i="9"/>
  <c r="G24" i="9" s="1"/>
  <c r="G12" i="9" s="1"/>
  <c r="G15" i="8" s="1"/>
  <c r="G28" i="9"/>
  <c r="G29" i="9" s="1"/>
  <c r="G13" i="9" s="1"/>
  <c r="I11" i="6"/>
  <c r="I14" i="6" s="1"/>
  <c r="H15" i="4"/>
  <c r="L3" i="7"/>
  <c r="L31" i="7" s="1"/>
  <c r="K6" i="7"/>
  <c r="K43" i="1"/>
  <c r="M3" i="8"/>
  <c r="L6" i="8"/>
  <c r="T3" i="4"/>
  <c r="S6" i="4"/>
  <c r="H34" i="1"/>
  <c r="H41" i="1" s="1"/>
  <c r="H58" i="1" s="1"/>
  <c r="H66" i="1" s="1"/>
  <c r="L13" i="1"/>
  <c r="L50" i="1" s="1"/>
  <c r="L48" i="1" s="1"/>
  <c r="K30" i="1"/>
  <c r="M15" i="1"/>
  <c r="M53" i="1" s="1"/>
  <c r="M51" i="1" s="1"/>
  <c r="L31" i="1"/>
  <c r="J27" i="1"/>
  <c r="J18" i="9" s="1"/>
  <c r="J19" i="9" s="1"/>
  <c r="J11" i="9" s="1"/>
  <c r="J14" i="8" s="1"/>
  <c r="L17" i="1"/>
  <c r="L56" i="1" s="1"/>
  <c r="L54" i="1" s="1"/>
  <c r="K32" i="1"/>
  <c r="G34" i="1"/>
  <c r="G41" i="1" s="1"/>
  <c r="G58" i="1" s="1"/>
  <c r="G66" i="1" s="1"/>
  <c r="N11" i="1"/>
  <c r="N47" i="1" s="1"/>
  <c r="N45" i="1" s="1"/>
  <c r="M29" i="1"/>
  <c r="I34" i="1" l="1"/>
  <c r="I41" i="1" s="1"/>
  <c r="I58" i="1" s="1"/>
  <c r="I66" i="1" s="1"/>
  <c r="I70" i="1" s="1"/>
  <c r="I47" i="8" s="1"/>
  <c r="F13" i="8"/>
  <c r="F11" i="8" s="1"/>
  <c r="F30" i="8" s="1"/>
  <c r="F100" i="1"/>
  <c r="G97" i="1" s="1"/>
  <c r="F93" i="1"/>
  <c r="F77" i="1"/>
  <c r="I19" i="4"/>
  <c r="I16" i="8"/>
  <c r="H19" i="4"/>
  <c r="H10" i="9"/>
  <c r="I14" i="9" s="1"/>
  <c r="I52" i="8" s="1"/>
  <c r="F86" i="1"/>
  <c r="F43" i="8" s="1"/>
  <c r="F42" i="8" s="1"/>
  <c r="F27" i="8" s="1"/>
  <c r="F32" i="8" s="1"/>
  <c r="H15" i="8"/>
  <c r="G19" i="4"/>
  <c r="G16" i="8"/>
  <c r="J19" i="4"/>
  <c r="J16" i="8"/>
  <c r="H16" i="8"/>
  <c r="H70" i="1"/>
  <c r="H47" i="8" s="1"/>
  <c r="H67" i="1"/>
  <c r="G70" i="1"/>
  <c r="G47" i="8" s="1"/>
  <c r="G67" i="1"/>
  <c r="J12" i="4"/>
  <c r="J10" i="9"/>
  <c r="J14" i="9" s="1"/>
  <c r="J52" i="8" s="1"/>
  <c r="G13" i="4"/>
  <c r="G10" i="9"/>
  <c r="G14" i="9" s="1"/>
  <c r="G52" i="8" s="1"/>
  <c r="K28" i="9"/>
  <c r="K29" i="9" s="1"/>
  <c r="K13" i="9" s="1"/>
  <c r="K23" i="9"/>
  <c r="K24" i="9" s="1"/>
  <c r="K12" i="9" s="1"/>
  <c r="J11" i="6"/>
  <c r="J14" i="6" s="1"/>
  <c r="I15" i="4"/>
  <c r="M3" i="7"/>
  <c r="L6" i="7"/>
  <c r="L43" i="1"/>
  <c r="N3" i="8"/>
  <c r="M6" i="8"/>
  <c r="U3" i="4"/>
  <c r="T6" i="4"/>
  <c r="M17" i="1"/>
  <c r="M56" i="1" s="1"/>
  <c r="M54" i="1" s="1"/>
  <c r="L32" i="1"/>
  <c r="K27" i="1"/>
  <c r="K18" i="9" s="1"/>
  <c r="K19" i="9" s="1"/>
  <c r="K11" i="9" s="1"/>
  <c r="K14" i="8" s="1"/>
  <c r="J36" i="1"/>
  <c r="J38" i="1"/>
  <c r="J37" i="1"/>
  <c r="J39" i="1"/>
  <c r="M13" i="1"/>
  <c r="M50" i="1" s="1"/>
  <c r="M48" i="1" s="1"/>
  <c r="L30" i="1"/>
  <c r="N15" i="1"/>
  <c r="N53" i="1" s="1"/>
  <c r="N51" i="1" s="1"/>
  <c r="M31" i="1"/>
  <c r="O11" i="1"/>
  <c r="O47" i="1" s="1"/>
  <c r="O45" i="1" s="1"/>
  <c r="N29" i="1"/>
  <c r="F35" i="8" l="1"/>
  <c r="F39" i="8" s="1"/>
  <c r="F40" i="8" s="1"/>
  <c r="I67" i="1"/>
  <c r="G90" i="1"/>
  <c r="F14" i="4"/>
  <c r="G83" i="1"/>
  <c r="F24" i="4"/>
  <c r="K19" i="4"/>
  <c r="K16" i="8"/>
  <c r="K13" i="4"/>
  <c r="K15" i="8"/>
  <c r="M31" i="7"/>
  <c r="I48" i="8"/>
  <c r="I49" i="8" s="1"/>
  <c r="I53" i="8" s="1"/>
  <c r="G48" i="8"/>
  <c r="G49" i="8" s="1"/>
  <c r="G53" i="8" s="1"/>
  <c r="H48" i="8"/>
  <c r="H49" i="8" s="1"/>
  <c r="H14" i="9"/>
  <c r="H52" i="8" s="1"/>
  <c r="K12" i="4"/>
  <c r="K10" i="9"/>
  <c r="K14" i="9" s="1"/>
  <c r="K52" i="8" s="1"/>
  <c r="L28" i="9"/>
  <c r="L29" i="9" s="1"/>
  <c r="L13" i="9" s="1"/>
  <c r="L23" i="9"/>
  <c r="L24" i="9" s="1"/>
  <c r="L12" i="9" s="1"/>
  <c r="K11" i="6"/>
  <c r="K14" i="6" s="1"/>
  <c r="J15" i="4"/>
  <c r="M6" i="7"/>
  <c r="N3" i="7"/>
  <c r="M43" i="1"/>
  <c r="O3" i="8"/>
  <c r="N6" i="8"/>
  <c r="V3" i="4"/>
  <c r="U6" i="4"/>
  <c r="J34" i="1"/>
  <c r="J41" i="1" s="1"/>
  <c r="J58" i="1" s="1"/>
  <c r="J66" i="1" s="1"/>
  <c r="K36" i="1"/>
  <c r="K38" i="1"/>
  <c r="K37" i="1"/>
  <c r="K39" i="1"/>
  <c r="P11" i="1"/>
  <c r="P47" i="1" s="1"/>
  <c r="P45" i="1" s="1"/>
  <c r="O29" i="1"/>
  <c r="N17" i="1"/>
  <c r="N56" i="1" s="1"/>
  <c r="N54" i="1" s="1"/>
  <c r="M32" i="1"/>
  <c r="N13" i="1"/>
  <c r="N50" i="1" s="1"/>
  <c r="N48" i="1" s="1"/>
  <c r="M30" i="1"/>
  <c r="L27" i="1"/>
  <c r="L18" i="9" s="1"/>
  <c r="L19" i="9" s="1"/>
  <c r="L11" i="9" s="1"/>
  <c r="L14" i="8" s="1"/>
  <c r="O15" i="1"/>
  <c r="O53" i="1" s="1"/>
  <c r="O51" i="1" s="1"/>
  <c r="N31" i="1"/>
  <c r="G38" i="8" l="1"/>
  <c r="F25" i="4"/>
  <c r="F22" i="4" s="1"/>
  <c r="N24" i="7"/>
  <c r="H53" i="8"/>
  <c r="L13" i="4"/>
  <c r="L15" i="8"/>
  <c r="L19" i="4"/>
  <c r="L16" i="8"/>
  <c r="N31" i="7"/>
  <c r="J70" i="1"/>
  <c r="J47" i="8" s="1"/>
  <c r="J67" i="1"/>
  <c r="L12" i="4"/>
  <c r="L10" i="9"/>
  <c r="L14" i="9" s="1"/>
  <c r="L52" i="8" s="1"/>
  <c r="M28" i="9"/>
  <c r="M29" i="9" s="1"/>
  <c r="M13" i="9" s="1"/>
  <c r="M23" i="9"/>
  <c r="M24" i="9" s="1"/>
  <c r="M12" i="9" s="1"/>
  <c r="L11" i="6"/>
  <c r="L14" i="6" s="1"/>
  <c r="K15" i="4"/>
  <c r="N6" i="7"/>
  <c r="O3" i="7"/>
  <c r="N43" i="1"/>
  <c r="P3" i="8"/>
  <c r="O6" i="8"/>
  <c r="W3" i="4"/>
  <c r="V6" i="4"/>
  <c r="K34" i="1"/>
  <c r="K41" i="1" s="1"/>
  <c r="K58" i="1" s="1"/>
  <c r="K66" i="1" s="1"/>
  <c r="P15" i="1"/>
  <c r="P53" i="1" s="1"/>
  <c r="P51" i="1" s="1"/>
  <c r="O31" i="1"/>
  <c r="O13" i="1"/>
  <c r="O50" i="1" s="1"/>
  <c r="O48" i="1" s="1"/>
  <c r="N30" i="1"/>
  <c r="O17" i="1"/>
  <c r="O56" i="1" s="1"/>
  <c r="O54" i="1" s="1"/>
  <c r="N32" i="1"/>
  <c r="M27" i="1"/>
  <c r="M18" i="9" s="1"/>
  <c r="M19" i="9" s="1"/>
  <c r="M11" i="9" s="1"/>
  <c r="M14" i="8" s="1"/>
  <c r="L37" i="1"/>
  <c r="L39" i="1"/>
  <c r="L36" i="1"/>
  <c r="L38" i="1"/>
  <c r="Q11" i="1"/>
  <c r="Q47" i="1" s="1"/>
  <c r="Q45" i="1" s="1"/>
  <c r="P29" i="1"/>
  <c r="O24" i="7" l="1"/>
  <c r="M13" i="4"/>
  <c r="M15" i="8"/>
  <c r="M19" i="4"/>
  <c r="M16" i="8"/>
  <c r="O31" i="7"/>
  <c r="J48" i="8"/>
  <c r="J49" i="8" s="1"/>
  <c r="J53" i="8" s="1"/>
  <c r="K70" i="1"/>
  <c r="K47" i="8" s="1"/>
  <c r="K67" i="1"/>
  <c r="M12" i="4"/>
  <c r="M10" i="9"/>
  <c r="M14" i="9" s="1"/>
  <c r="M52" i="8" s="1"/>
  <c r="N28" i="9"/>
  <c r="N29" i="9" s="1"/>
  <c r="N13" i="9" s="1"/>
  <c r="N23" i="9"/>
  <c r="N24" i="9" s="1"/>
  <c r="N12" i="9" s="1"/>
  <c r="M11" i="6"/>
  <c r="M14" i="6" s="1"/>
  <c r="L15" i="4"/>
  <c r="P3" i="7"/>
  <c r="O6" i="7"/>
  <c r="O43" i="1"/>
  <c r="Q3" i="8"/>
  <c r="P6" i="8"/>
  <c r="X3" i="4"/>
  <c r="W6" i="4"/>
  <c r="N27" i="1"/>
  <c r="N18" i="9" s="1"/>
  <c r="N19" i="9" s="1"/>
  <c r="N11" i="9" s="1"/>
  <c r="N14" i="8" s="1"/>
  <c r="P13" i="1"/>
  <c r="P50" i="1" s="1"/>
  <c r="P48" i="1" s="1"/>
  <c r="O30" i="1"/>
  <c r="P17" i="1"/>
  <c r="P56" i="1" s="1"/>
  <c r="P54" i="1" s="1"/>
  <c r="O32" i="1"/>
  <c r="R11" i="1"/>
  <c r="R47" i="1" s="1"/>
  <c r="R45" i="1" s="1"/>
  <c r="Q29" i="1"/>
  <c r="Q15" i="1"/>
  <c r="Q53" i="1" s="1"/>
  <c r="Q51" i="1" s="1"/>
  <c r="P31" i="1"/>
  <c r="L34" i="1"/>
  <c r="L41" i="1" s="1"/>
  <c r="L58" i="1" s="1"/>
  <c r="L66" i="1" s="1"/>
  <c r="M37" i="1"/>
  <c r="M39" i="1"/>
  <c r="M36" i="1"/>
  <c r="M38" i="1"/>
  <c r="P24" i="7" l="1"/>
  <c r="N13" i="4"/>
  <c r="N15" i="8"/>
  <c r="N19" i="4"/>
  <c r="N16" i="8"/>
  <c r="P31" i="7"/>
  <c r="K48" i="8"/>
  <c r="K49" i="8" s="1"/>
  <c r="K53" i="8" s="1"/>
  <c r="L70" i="1"/>
  <c r="L47" i="8" s="1"/>
  <c r="L67" i="1"/>
  <c r="N12" i="4"/>
  <c r="N10" i="9"/>
  <c r="N14" i="9" s="1"/>
  <c r="N52" i="8" s="1"/>
  <c r="O23" i="9"/>
  <c r="O24" i="9" s="1"/>
  <c r="O12" i="9" s="1"/>
  <c r="O28" i="9"/>
  <c r="O29" i="9" s="1"/>
  <c r="O13" i="9" s="1"/>
  <c r="N11" i="6"/>
  <c r="N14" i="6" s="1"/>
  <c r="M15" i="4"/>
  <c r="Q3" i="7"/>
  <c r="P6" i="7"/>
  <c r="P43" i="1"/>
  <c r="R3" i="8"/>
  <c r="Q6" i="8"/>
  <c r="Y3" i="4"/>
  <c r="X6" i="4"/>
  <c r="Q17" i="1"/>
  <c r="Q56" i="1" s="1"/>
  <c r="Q54" i="1" s="1"/>
  <c r="P32" i="1"/>
  <c r="O27" i="1"/>
  <c r="O18" i="9" s="1"/>
  <c r="O19" i="9" s="1"/>
  <c r="O11" i="9" s="1"/>
  <c r="O14" i="8" s="1"/>
  <c r="Q13" i="1"/>
  <c r="Q50" i="1" s="1"/>
  <c r="Q48" i="1" s="1"/>
  <c r="P30" i="1"/>
  <c r="M34" i="1"/>
  <c r="M41" i="1" s="1"/>
  <c r="M58" i="1" s="1"/>
  <c r="M66" i="1" s="1"/>
  <c r="S11" i="1"/>
  <c r="S47" i="1" s="1"/>
  <c r="S45" i="1" s="1"/>
  <c r="R29" i="1"/>
  <c r="R15" i="1"/>
  <c r="R53" i="1" s="1"/>
  <c r="R51" i="1" s="1"/>
  <c r="Q31" i="1"/>
  <c r="N36" i="1"/>
  <c r="N38" i="1"/>
  <c r="N37" i="1"/>
  <c r="N39" i="1"/>
  <c r="Q24" i="7" l="1"/>
  <c r="O19" i="4"/>
  <c r="O16" i="8"/>
  <c r="O13" i="4"/>
  <c r="O15" i="8"/>
  <c r="P14" i="7"/>
  <c r="P25" i="8" s="1"/>
  <c r="P65" i="8" s="1"/>
  <c r="Q31" i="7"/>
  <c r="L48" i="8"/>
  <c r="L49" i="8" s="1"/>
  <c r="L53" i="8" s="1"/>
  <c r="M70" i="1"/>
  <c r="M47" i="8" s="1"/>
  <c r="M67" i="1"/>
  <c r="O12" i="4"/>
  <c r="O10" i="9"/>
  <c r="O14" i="9" s="1"/>
  <c r="O52" i="8" s="1"/>
  <c r="P23" i="9"/>
  <c r="P24" i="9" s="1"/>
  <c r="P12" i="9" s="1"/>
  <c r="P28" i="9"/>
  <c r="P29" i="9" s="1"/>
  <c r="P13" i="9" s="1"/>
  <c r="O11" i="6"/>
  <c r="O14" i="6" s="1"/>
  <c r="N15" i="4"/>
  <c r="Q6" i="7"/>
  <c r="R3" i="7"/>
  <c r="Q43" i="1"/>
  <c r="S3" i="8"/>
  <c r="R6" i="8"/>
  <c r="Z3" i="4"/>
  <c r="Z6" i="4" s="1"/>
  <c r="Y6" i="4"/>
  <c r="O36" i="1"/>
  <c r="O37" i="1"/>
  <c r="O39" i="1"/>
  <c r="O38" i="1"/>
  <c r="R17" i="1"/>
  <c r="R56" i="1" s="1"/>
  <c r="R54" i="1" s="1"/>
  <c r="Q32" i="1"/>
  <c r="T11" i="1"/>
  <c r="T47" i="1" s="1"/>
  <c r="T45" i="1" s="1"/>
  <c r="S29" i="1"/>
  <c r="S15" i="1"/>
  <c r="S53" i="1" s="1"/>
  <c r="S51" i="1" s="1"/>
  <c r="R31" i="1"/>
  <c r="N34" i="1"/>
  <c r="N41" i="1" s="1"/>
  <c r="N58" i="1" s="1"/>
  <c r="N66" i="1" s="1"/>
  <c r="R13" i="1"/>
  <c r="R50" i="1" s="1"/>
  <c r="R48" i="1" s="1"/>
  <c r="Q30" i="1"/>
  <c r="P27" i="1"/>
  <c r="P18" i="9" s="1"/>
  <c r="P19" i="9" s="1"/>
  <c r="P11" i="9" s="1"/>
  <c r="P14" i="8" s="1"/>
  <c r="R24" i="7" l="1"/>
  <c r="P19" i="4"/>
  <c r="P16" i="8"/>
  <c r="P13" i="4"/>
  <c r="P15" i="8"/>
  <c r="Q14" i="7"/>
  <c r="Q25" i="8" s="1"/>
  <c r="Q65" i="8" s="1"/>
  <c r="R31" i="7"/>
  <c r="M48" i="8"/>
  <c r="M49" i="8" s="1"/>
  <c r="M53" i="8" s="1"/>
  <c r="N70" i="1"/>
  <c r="N47" i="8" s="1"/>
  <c r="N67" i="1"/>
  <c r="P12" i="4"/>
  <c r="P10" i="9"/>
  <c r="P14" i="9" s="1"/>
  <c r="P52" i="8" s="1"/>
  <c r="Q23" i="9"/>
  <c r="Q24" i="9" s="1"/>
  <c r="Q12" i="9" s="1"/>
  <c r="Q28" i="9"/>
  <c r="Q29" i="9" s="1"/>
  <c r="Q13" i="9" s="1"/>
  <c r="P11" i="6"/>
  <c r="P14" i="6" s="1"/>
  <c r="O15" i="4"/>
  <c r="R6" i="7"/>
  <c r="S3" i="7"/>
  <c r="R43" i="1"/>
  <c r="T3" i="8"/>
  <c r="S6" i="8"/>
  <c r="P36" i="1"/>
  <c r="P38" i="1"/>
  <c r="P37" i="1"/>
  <c r="P39" i="1"/>
  <c r="S17" i="1"/>
  <c r="S56" i="1" s="1"/>
  <c r="S54" i="1" s="1"/>
  <c r="R32" i="1"/>
  <c r="U11" i="1"/>
  <c r="U47" i="1" s="1"/>
  <c r="U45" i="1" s="1"/>
  <c r="T29" i="1"/>
  <c r="O34" i="1"/>
  <c r="O41" i="1" s="1"/>
  <c r="O58" i="1" s="1"/>
  <c r="O66" i="1" s="1"/>
  <c r="T15" i="1"/>
  <c r="T53" i="1" s="1"/>
  <c r="T51" i="1" s="1"/>
  <c r="S31" i="1"/>
  <c r="Q27" i="1"/>
  <c r="Q18" i="9" s="1"/>
  <c r="Q19" i="9" s="1"/>
  <c r="Q11" i="9" s="1"/>
  <c r="Q14" i="8" s="1"/>
  <c r="S13" i="1"/>
  <c r="S50" i="1" s="1"/>
  <c r="S48" i="1" s="1"/>
  <c r="R30" i="1"/>
  <c r="S24" i="7" l="1"/>
  <c r="Q19" i="4"/>
  <c r="Q16" i="8"/>
  <c r="Q13" i="4"/>
  <c r="Q15" i="8"/>
  <c r="R14" i="7"/>
  <c r="R25" i="8" s="1"/>
  <c r="R65" i="8" s="1"/>
  <c r="S31" i="7"/>
  <c r="N48" i="8"/>
  <c r="N49" i="8" s="1"/>
  <c r="N53" i="8" s="1"/>
  <c r="O70" i="1"/>
  <c r="O47" i="8" s="1"/>
  <c r="O67" i="1"/>
  <c r="Q12" i="4"/>
  <c r="Q10" i="9"/>
  <c r="Q14" i="9" s="1"/>
  <c r="Q52" i="8" s="1"/>
  <c r="R23" i="9"/>
  <c r="R24" i="9" s="1"/>
  <c r="R12" i="9" s="1"/>
  <c r="R28" i="9"/>
  <c r="R29" i="9" s="1"/>
  <c r="R13" i="9" s="1"/>
  <c r="Q11" i="6"/>
  <c r="Q14" i="6" s="1"/>
  <c r="P15" i="4"/>
  <c r="S6" i="7"/>
  <c r="T3" i="7"/>
  <c r="S43" i="1"/>
  <c r="U3" i="8"/>
  <c r="T6" i="8"/>
  <c r="T17" i="1"/>
  <c r="T56" i="1" s="1"/>
  <c r="T54" i="1" s="1"/>
  <c r="S32" i="1"/>
  <c r="U15" i="1"/>
  <c r="U53" i="1" s="1"/>
  <c r="U51" i="1" s="1"/>
  <c r="T31" i="1"/>
  <c r="R27" i="1"/>
  <c r="R18" i="9" s="1"/>
  <c r="R19" i="9" s="1"/>
  <c r="R11" i="9" s="1"/>
  <c r="R14" i="8" s="1"/>
  <c r="V11" i="1"/>
  <c r="V47" i="1" s="1"/>
  <c r="V45" i="1" s="1"/>
  <c r="U29" i="1"/>
  <c r="P34" i="1"/>
  <c r="P41" i="1" s="1"/>
  <c r="P58" i="1" s="1"/>
  <c r="P66" i="1" s="1"/>
  <c r="T13" i="1"/>
  <c r="T50" i="1" s="1"/>
  <c r="T48" i="1" s="1"/>
  <c r="S30" i="1"/>
  <c r="Q36" i="1"/>
  <c r="Q38" i="1"/>
  <c r="Q37" i="1"/>
  <c r="Q39" i="1"/>
  <c r="T24" i="7" l="1"/>
  <c r="R19" i="4"/>
  <c r="R16" i="8"/>
  <c r="R13" i="4"/>
  <c r="R15" i="8"/>
  <c r="S14" i="7"/>
  <c r="S25" i="8" s="1"/>
  <c r="S65" i="8" s="1"/>
  <c r="T31" i="7"/>
  <c r="O48" i="8"/>
  <c r="O49" i="8" s="1"/>
  <c r="O53" i="8" s="1"/>
  <c r="P70" i="1"/>
  <c r="P47" i="8" s="1"/>
  <c r="P67" i="1"/>
  <c r="R12" i="4"/>
  <c r="R10" i="9"/>
  <c r="R14" i="9" s="1"/>
  <c r="R52" i="8" s="1"/>
  <c r="S23" i="9"/>
  <c r="S24" i="9" s="1"/>
  <c r="S12" i="9" s="1"/>
  <c r="S28" i="9"/>
  <c r="S29" i="9" s="1"/>
  <c r="S13" i="9" s="1"/>
  <c r="R11" i="6"/>
  <c r="R14" i="6" s="1"/>
  <c r="Q15" i="4"/>
  <c r="T6" i="7"/>
  <c r="U3" i="7"/>
  <c r="T43" i="1"/>
  <c r="V3" i="8"/>
  <c r="U6" i="8"/>
  <c r="V15" i="1"/>
  <c r="V53" i="1" s="1"/>
  <c r="V51" i="1" s="1"/>
  <c r="U31" i="1"/>
  <c r="W11" i="1"/>
  <c r="W47" i="1" s="1"/>
  <c r="W45" i="1" s="1"/>
  <c r="V29" i="1"/>
  <c r="Q34" i="1"/>
  <c r="Q41" i="1" s="1"/>
  <c r="Q58" i="1" s="1"/>
  <c r="Q66" i="1" s="1"/>
  <c r="R39" i="1"/>
  <c r="R36" i="1"/>
  <c r="R38" i="1"/>
  <c r="R37" i="1"/>
  <c r="U17" i="1"/>
  <c r="U56" i="1" s="1"/>
  <c r="U54" i="1" s="1"/>
  <c r="T32" i="1"/>
  <c r="S27" i="1"/>
  <c r="S18" i="9" s="1"/>
  <c r="S19" i="9" s="1"/>
  <c r="S11" i="9" s="1"/>
  <c r="S14" i="8" s="1"/>
  <c r="U13" i="1"/>
  <c r="U50" i="1" s="1"/>
  <c r="U48" i="1" s="1"/>
  <c r="T30" i="1"/>
  <c r="U24" i="7" l="1"/>
  <c r="U14" i="7" s="1"/>
  <c r="U25" i="8" s="1"/>
  <c r="U65" i="8" s="1"/>
  <c r="S13" i="4"/>
  <c r="S15" i="8"/>
  <c r="S19" i="4"/>
  <c r="S16" i="8"/>
  <c r="T14" i="7"/>
  <c r="T25" i="8" s="1"/>
  <c r="T65" i="8" s="1"/>
  <c r="U31" i="7"/>
  <c r="P48" i="8"/>
  <c r="P49" i="8" s="1"/>
  <c r="P53" i="8" s="1"/>
  <c r="Q70" i="1"/>
  <c r="Q47" i="8" s="1"/>
  <c r="Q67" i="1"/>
  <c r="S12" i="4"/>
  <c r="S10" i="9"/>
  <c r="S14" i="9" s="1"/>
  <c r="S52" i="8" s="1"/>
  <c r="T28" i="9"/>
  <c r="T29" i="9" s="1"/>
  <c r="T13" i="9" s="1"/>
  <c r="T23" i="9"/>
  <c r="T24" i="9" s="1"/>
  <c r="T12" i="9" s="1"/>
  <c r="S11" i="6"/>
  <c r="S14" i="6" s="1"/>
  <c r="R15" i="4"/>
  <c r="V3" i="7"/>
  <c r="U6" i="7"/>
  <c r="U43" i="1"/>
  <c r="W3" i="8"/>
  <c r="V6" i="8"/>
  <c r="X11" i="1"/>
  <c r="X47" i="1" s="1"/>
  <c r="X45" i="1" s="1"/>
  <c r="W29" i="1"/>
  <c r="V17" i="1"/>
  <c r="V56" i="1" s="1"/>
  <c r="V54" i="1" s="1"/>
  <c r="U32" i="1"/>
  <c r="S37" i="1"/>
  <c r="S39" i="1"/>
  <c r="S36" i="1"/>
  <c r="S38" i="1"/>
  <c r="R34" i="1"/>
  <c r="R41" i="1" s="1"/>
  <c r="R58" i="1" s="1"/>
  <c r="R66" i="1" s="1"/>
  <c r="V13" i="1"/>
  <c r="V50" i="1" s="1"/>
  <c r="V48" i="1" s="1"/>
  <c r="U30" i="1"/>
  <c r="T27" i="1"/>
  <c r="T18" i="9" s="1"/>
  <c r="T19" i="9" s="1"/>
  <c r="T11" i="9" s="1"/>
  <c r="T14" i="8" s="1"/>
  <c r="W15" i="1"/>
  <c r="W53" i="1" s="1"/>
  <c r="W51" i="1" s="1"/>
  <c r="V31" i="1"/>
  <c r="V24" i="7" l="1"/>
  <c r="T13" i="4"/>
  <c r="T15" i="8"/>
  <c r="T19" i="4"/>
  <c r="T16" i="8"/>
  <c r="V31" i="7"/>
  <c r="W24" i="7" s="1"/>
  <c r="Q48" i="8"/>
  <c r="Q49" i="8" s="1"/>
  <c r="Q53" i="8" s="1"/>
  <c r="R70" i="1"/>
  <c r="R47" i="8" s="1"/>
  <c r="R67" i="1"/>
  <c r="T12" i="4"/>
  <c r="T10" i="9"/>
  <c r="T14" i="9" s="1"/>
  <c r="T52" i="8" s="1"/>
  <c r="U28" i="9"/>
  <c r="U29" i="9" s="1"/>
  <c r="U13" i="9" s="1"/>
  <c r="U23" i="9"/>
  <c r="U24" i="9" s="1"/>
  <c r="U12" i="9" s="1"/>
  <c r="T11" i="6"/>
  <c r="T14" i="6" s="1"/>
  <c r="S15" i="4"/>
  <c r="V6" i="7"/>
  <c r="W3" i="7"/>
  <c r="V43" i="1"/>
  <c r="X3" i="8"/>
  <c r="W6" i="8"/>
  <c r="W13" i="1"/>
  <c r="W50" i="1" s="1"/>
  <c r="W48" i="1" s="1"/>
  <c r="V30" i="1"/>
  <c r="X15" i="1"/>
  <c r="X53" i="1" s="1"/>
  <c r="X51" i="1" s="1"/>
  <c r="W31" i="1"/>
  <c r="T37" i="1"/>
  <c r="T39" i="1"/>
  <c r="T36" i="1"/>
  <c r="T38" i="1"/>
  <c r="S34" i="1"/>
  <c r="S41" i="1" s="1"/>
  <c r="S58" i="1" s="1"/>
  <c r="S66" i="1" s="1"/>
  <c r="W17" i="1"/>
  <c r="W56" i="1" s="1"/>
  <c r="W54" i="1" s="1"/>
  <c r="V32" i="1"/>
  <c r="Y11" i="1"/>
  <c r="Y47" i="1" s="1"/>
  <c r="Y45" i="1" s="1"/>
  <c r="X29" i="1"/>
  <c r="U27" i="1"/>
  <c r="U18" i="9" s="1"/>
  <c r="U19" i="9" s="1"/>
  <c r="U11" i="9" s="1"/>
  <c r="U14" i="8" s="1"/>
  <c r="U13" i="4" l="1"/>
  <c r="U15" i="8"/>
  <c r="U19" i="4"/>
  <c r="U16" i="8"/>
  <c r="V14" i="7"/>
  <c r="V25" i="8" s="1"/>
  <c r="V65" i="8" s="1"/>
  <c r="W31" i="7"/>
  <c r="X24" i="7" s="1"/>
  <c r="R48" i="8"/>
  <c r="R49" i="8" s="1"/>
  <c r="R53" i="8" s="1"/>
  <c r="S70" i="1"/>
  <c r="S47" i="8" s="1"/>
  <c r="S67" i="1"/>
  <c r="U12" i="4"/>
  <c r="U10" i="9"/>
  <c r="U14" i="9" s="1"/>
  <c r="U52" i="8" s="1"/>
  <c r="V28" i="9"/>
  <c r="V29" i="9" s="1"/>
  <c r="V13" i="9" s="1"/>
  <c r="V23" i="9"/>
  <c r="V24" i="9" s="1"/>
  <c r="V12" i="9" s="1"/>
  <c r="U11" i="6"/>
  <c r="U14" i="6" s="1"/>
  <c r="T15" i="4"/>
  <c r="X3" i="7"/>
  <c r="W6" i="7"/>
  <c r="W43" i="1"/>
  <c r="Y3" i="8"/>
  <c r="X6" i="8"/>
  <c r="U37" i="1"/>
  <c r="U39" i="1"/>
  <c r="U36" i="1"/>
  <c r="U38" i="1"/>
  <c r="Y15" i="1"/>
  <c r="Y53" i="1" s="1"/>
  <c r="Y51" i="1" s="1"/>
  <c r="X31" i="1"/>
  <c r="V27" i="1"/>
  <c r="V18" i="9" s="1"/>
  <c r="V19" i="9" s="1"/>
  <c r="V11" i="9" s="1"/>
  <c r="V14" i="8" s="1"/>
  <c r="T34" i="1"/>
  <c r="T41" i="1" s="1"/>
  <c r="T58" i="1" s="1"/>
  <c r="T66" i="1" s="1"/>
  <c r="X13" i="1"/>
  <c r="X50" i="1" s="1"/>
  <c r="X48" i="1" s="1"/>
  <c r="W30" i="1"/>
  <c r="Z11" i="1"/>
  <c r="Y29" i="1"/>
  <c r="X17" i="1"/>
  <c r="X56" i="1" s="1"/>
  <c r="X54" i="1" s="1"/>
  <c r="W32" i="1"/>
  <c r="V19" i="4" l="1"/>
  <c r="V16" i="8"/>
  <c r="V13" i="4"/>
  <c r="V15" i="8"/>
  <c r="W14" i="7"/>
  <c r="W25" i="8" s="1"/>
  <c r="W65" i="8" s="1"/>
  <c r="X31" i="7"/>
  <c r="S48" i="8"/>
  <c r="S49" i="8" s="1"/>
  <c r="S53" i="8" s="1"/>
  <c r="T70" i="1"/>
  <c r="T47" i="8" s="1"/>
  <c r="T67" i="1"/>
  <c r="V12" i="4"/>
  <c r="V10" i="9"/>
  <c r="V14" i="9" s="1"/>
  <c r="V52" i="8" s="1"/>
  <c r="W28" i="9"/>
  <c r="W29" i="9" s="1"/>
  <c r="W13" i="9" s="1"/>
  <c r="W23" i="9"/>
  <c r="W24" i="9" s="1"/>
  <c r="W12" i="9" s="1"/>
  <c r="V11" i="6"/>
  <c r="V14" i="6" s="1"/>
  <c r="U15" i="4"/>
  <c r="X6" i="7"/>
  <c r="Y3" i="7"/>
  <c r="X43" i="1"/>
  <c r="Z29" i="1"/>
  <c r="Z47" i="1"/>
  <c r="Z45" i="1" s="1"/>
  <c r="Z3" i="8"/>
  <c r="Z6" i="8" s="1"/>
  <c r="Y6" i="8"/>
  <c r="W27" i="1"/>
  <c r="W18" i="9" s="1"/>
  <c r="W19" i="9" s="1"/>
  <c r="W11" i="9" s="1"/>
  <c r="W14" i="8" s="1"/>
  <c r="Y13" i="1"/>
  <c r="Y50" i="1" s="1"/>
  <c r="Y48" i="1" s="1"/>
  <c r="X30" i="1"/>
  <c r="Z15" i="1"/>
  <c r="Y31" i="1"/>
  <c r="Y17" i="1"/>
  <c r="Y56" i="1" s="1"/>
  <c r="Y54" i="1" s="1"/>
  <c r="X32" i="1"/>
  <c r="U34" i="1"/>
  <c r="U41" i="1" s="1"/>
  <c r="U58" i="1" s="1"/>
  <c r="U66" i="1" s="1"/>
  <c r="V37" i="1"/>
  <c r="V39" i="1"/>
  <c r="V36" i="1"/>
  <c r="V38" i="1"/>
  <c r="Y24" i="7" l="1"/>
  <c r="W19" i="4"/>
  <c r="W16" i="8"/>
  <c r="W13" i="4"/>
  <c r="W15" i="8"/>
  <c r="X14" i="7"/>
  <c r="X25" i="8" s="1"/>
  <c r="X65" i="8" s="1"/>
  <c r="Y31" i="7"/>
  <c r="T48" i="8"/>
  <c r="T49" i="8" s="1"/>
  <c r="T53" i="8" s="1"/>
  <c r="U70" i="1"/>
  <c r="U47" i="8" s="1"/>
  <c r="U67" i="1"/>
  <c r="W12" i="4"/>
  <c r="W10" i="9"/>
  <c r="W14" i="9" s="1"/>
  <c r="W52" i="8" s="1"/>
  <c r="X23" i="9"/>
  <c r="X24" i="9" s="1"/>
  <c r="X12" i="9" s="1"/>
  <c r="X28" i="9"/>
  <c r="X29" i="9" s="1"/>
  <c r="X13" i="9" s="1"/>
  <c r="W11" i="6"/>
  <c r="W14" i="6" s="1"/>
  <c r="V15" i="4"/>
  <c r="Y6" i="7"/>
  <c r="Z3" i="7"/>
  <c r="Y43" i="1"/>
  <c r="Z31" i="1"/>
  <c r="Z53" i="1"/>
  <c r="Z51" i="1" s="1"/>
  <c r="Z17" i="1"/>
  <c r="Y32" i="1"/>
  <c r="Z13" i="1"/>
  <c r="Y30" i="1"/>
  <c r="X27" i="1"/>
  <c r="X18" i="9" s="1"/>
  <c r="X19" i="9" s="1"/>
  <c r="X11" i="9" s="1"/>
  <c r="X14" i="8" s="1"/>
  <c r="W36" i="1"/>
  <c r="W38" i="1"/>
  <c r="W37" i="1"/>
  <c r="W39" i="1"/>
  <c r="V34" i="1"/>
  <c r="V41" i="1" s="1"/>
  <c r="V58" i="1" s="1"/>
  <c r="V66" i="1" s="1"/>
  <c r="Y14" i="7" l="1"/>
  <c r="Y25" i="8" s="1"/>
  <c r="Y65" i="8" s="1"/>
  <c r="Z24" i="7"/>
  <c r="X19" i="4"/>
  <c r="X16" i="8"/>
  <c r="X13" i="4"/>
  <c r="X15" i="8"/>
  <c r="Z31" i="7"/>
  <c r="U48" i="8"/>
  <c r="U49" i="8" s="1"/>
  <c r="U53" i="8" s="1"/>
  <c r="V70" i="1"/>
  <c r="V47" i="8" s="1"/>
  <c r="V67" i="1"/>
  <c r="X12" i="4"/>
  <c r="X10" i="9"/>
  <c r="X14" i="9" s="1"/>
  <c r="X52" i="8" s="1"/>
  <c r="Y23" i="9"/>
  <c r="Y24" i="9" s="1"/>
  <c r="Y12" i="9" s="1"/>
  <c r="Y28" i="9"/>
  <c r="Y29" i="9" s="1"/>
  <c r="Y13" i="9" s="1"/>
  <c r="X11" i="6"/>
  <c r="X14" i="6" s="1"/>
  <c r="W15" i="4"/>
  <c r="Z6" i="7"/>
  <c r="Z32" i="1"/>
  <c r="Z56" i="1"/>
  <c r="Z54" i="1" s="1"/>
  <c r="Z30" i="1"/>
  <c r="Z50" i="1"/>
  <c r="Z48" i="1" s="1"/>
  <c r="X36" i="1"/>
  <c r="X38" i="1"/>
  <c r="X37" i="1"/>
  <c r="X39" i="1"/>
  <c r="Y27" i="1"/>
  <c r="Y18" i="9" s="1"/>
  <c r="Y19" i="9" s="1"/>
  <c r="Y11" i="9" s="1"/>
  <c r="Y14" i="8" s="1"/>
  <c r="W34" i="1"/>
  <c r="W41" i="1" s="1"/>
  <c r="W58" i="1" s="1"/>
  <c r="W66" i="1" s="1"/>
  <c r="Z14" i="7" l="1"/>
  <c r="Z25" i="8" s="1"/>
  <c r="Z65" i="8" s="1"/>
  <c r="Y19" i="4"/>
  <c r="Y16" i="8"/>
  <c r="Y13" i="4"/>
  <c r="Y15" i="8"/>
  <c r="V48" i="8"/>
  <c r="V49" i="8" s="1"/>
  <c r="V53" i="8" s="1"/>
  <c r="Z43" i="1"/>
  <c r="Z23" i="9" s="1"/>
  <c r="Z24" i="9" s="1"/>
  <c r="Z12" i="9" s="1"/>
  <c r="W70" i="1"/>
  <c r="W47" i="8" s="1"/>
  <c r="W67" i="1"/>
  <c r="Z27" i="1"/>
  <c r="Z18" i="9" s="1"/>
  <c r="Z19" i="9" s="1"/>
  <c r="Z11" i="9" s="1"/>
  <c r="Y12" i="4"/>
  <c r="Y10" i="9"/>
  <c r="Y14" i="9" s="1"/>
  <c r="Y52" i="8" s="1"/>
  <c r="Y11" i="6"/>
  <c r="Y14" i="6" s="1"/>
  <c r="X15" i="4"/>
  <c r="Y36" i="1"/>
  <c r="Y38" i="1"/>
  <c r="Y37" i="1"/>
  <c r="Y39" i="1"/>
  <c r="X34" i="1"/>
  <c r="X41" i="1" s="1"/>
  <c r="X58" i="1" s="1"/>
  <c r="X66" i="1" s="1"/>
  <c r="Z39" i="1" l="1"/>
  <c r="Z37" i="1"/>
  <c r="Z28" i="9"/>
  <c r="Z29" i="9" s="1"/>
  <c r="Z13" i="9" s="1"/>
  <c r="Z19" i="4" s="1"/>
  <c r="Z38" i="1"/>
  <c r="Z13" i="4"/>
  <c r="Z15" i="8"/>
  <c r="Z12" i="4"/>
  <c r="Z14" i="8"/>
  <c r="W48" i="8"/>
  <c r="W49" i="8" s="1"/>
  <c r="W53" i="8" s="1"/>
  <c r="Z36" i="1"/>
  <c r="X70" i="1"/>
  <c r="X47" i="8" s="1"/>
  <c r="X67" i="1"/>
  <c r="Z11" i="6"/>
  <c r="Z14" i="6" s="1"/>
  <c r="Z15" i="4" s="1"/>
  <c r="Y15" i="4"/>
  <c r="Y34" i="1"/>
  <c r="Y41" i="1" s="1"/>
  <c r="Y58" i="1" s="1"/>
  <c r="Y66" i="1" s="1"/>
  <c r="Z16" i="8" l="1"/>
  <c r="Z34" i="1"/>
  <c r="Z41" i="1" s="1"/>
  <c r="Z58" i="1" s="1"/>
  <c r="Z66" i="1" s="1"/>
  <c r="Z70" i="1" s="1"/>
  <c r="Z47" i="8" s="1"/>
  <c r="Z10" i="9"/>
  <c r="Z14" i="9" s="1"/>
  <c r="Z52" i="8" s="1"/>
  <c r="X48" i="8"/>
  <c r="X49" i="8" s="1"/>
  <c r="X53" i="8" s="1"/>
  <c r="Y70" i="1"/>
  <c r="Y47" i="8" s="1"/>
  <c r="Y67" i="1"/>
  <c r="F16" i="7"/>
  <c r="Z67" i="1" l="1"/>
  <c r="Y48" i="8"/>
  <c r="Y49" i="8" s="1"/>
  <c r="Y53" i="8" s="1"/>
  <c r="Z48" i="8"/>
  <c r="Z49" i="8" s="1"/>
  <c r="Z53" i="8" s="1"/>
  <c r="G11" i="7"/>
  <c r="F20" i="4"/>
  <c r="F17" i="4" s="1"/>
  <c r="C57" i="8" l="1"/>
  <c r="C55" i="8"/>
  <c r="G14" i="7" l="1"/>
  <c r="G25" i="8" s="1"/>
  <c r="O14" i="7" l="1"/>
  <c r="O25" i="8" s="1"/>
  <c r="O65" i="8" s="1"/>
  <c r="N14" i="7"/>
  <c r="N25" i="8" s="1"/>
  <c r="N65" i="8" s="1"/>
  <c r="F26" i="8" l="1"/>
  <c r="F23" i="8" l="1"/>
  <c r="F9" i="8" s="1"/>
  <c r="F31" i="8"/>
  <c r="F33" i="8" s="1"/>
  <c r="G29" i="8" l="1"/>
  <c r="F11" i="4"/>
  <c r="F9" i="4" s="1"/>
  <c r="F28" i="4" s="1"/>
  <c r="H31" i="7"/>
  <c r="M24" i="7" s="1"/>
  <c r="M14" i="7" s="1"/>
  <c r="M25" i="8" s="1"/>
  <c r="M65" i="8" s="1"/>
  <c r="G12" i="7"/>
  <c r="G24" i="8" s="1"/>
  <c r="G65" i="8" s="1"/>
  <c r="G27" i="7" l="1"/>
  <c r="G31" i="7" s="1"/>
  <c r="J24" i="7" s="1"/>
  <c r="J14" i="7" s="1"/>
  <c r="J25" i="8" s="1"/>
  <c r="J65" i="8" s="1"/>
  <c r="G13" i="7" l="1"/>
  <c r="G17" i="8" s="1"/>
  <c r="G66" i="8" s="1"/>
  <c r="H24" i="7"/>
  <c r="H14" i="7" s="1"/>
  <c r="H25" i="8" s="1"/>
  <c r="H65" i="8" s="1"/>
  <c r="L24" i="7"/>
  <c r="L14" i="7" s="1"/>
  <c r="L25" i="8" s="1"/>
  <c r="L65" i="8" s="1"/>
  <c r="K24" i="7"/>
  <c r="K14" i="7" s="1"/>
  <c r="K25" i="8" s="1"/>
  <c r="K65" i="8" s="1"/>
  <c r="I24" i="7"/>
  <c r="I14" i="7" s="1"/>
  <c r="I25" i="8" s="1"/>
  <c r="I65" i="8" s="1"/>
  <c r="G73" i="1" l="1"/>
  <c r="G75" i="1" s="1"/>
  <c r="G92" i="1" s="1"/>
  <c r="G16" i="7"/>
  <c r="G20" i="4" s="1"/>
  <c r="G17" i="4" s="1"/>
  <c r="G98" i="1" l="1"/>
  <c r="G103" i="1"/>
  <c r="G79" i="1" s="1"/>
  <c r="G62" i="8" s="1"/>
  <c r="G91" i="1"/>
  <c r="G93" i="1" s="1"/>
  <c r="G14" i="4" s="1"/>
  <c r="G84" i="1"/>
  <c r="G85" i="1" s="1"/>
  <c r="G12" i="8" s="1"/>
  <c r="G99" i="1"/>
  <c r="G102" i="1" s="1"/>
  <c r="H11" i="7"/>
  <c r="H27" i="7" s="1"/>
  <c r="H15" i="7" s="1"/>
  <c r="G68" i="8" l="1"/>
  <c r="G13" i="8"/>
  <c r="G77" i="1"/>
  <c r="G100" i="1"/>
  <c r="H97" i="1" s="1"/>
  <c r="H13" i="7"/>
  <c r="H17" i="8" s="1"/>
  <c r="H66" i="8" s="1"/>
  <c r="H90" i="1"/>
  <c r="G86" i="1"/>
  <c r="H16" i="7" l="1"/>
  <c r="H20" i="4" s="1"/>
  <c r="H17" i="4" s="1"/>
  <c r="H73" i="1"/>
  <c r="H75" i="1" s="1"/>
  <c r="H84" i="1" s="1"/>
  <c r="H85" i="1" s="1"/>
  <c r="H12" i="8" s="1"/>
  <c r="G24" i="4"/>
  <c r="G11" i="8"/>
  <c r="G30" i="8" s="1"/>
  <c r="G35" i="8" s="1"/>
  <c r="G43" i="8"/>
  <c r="G42" i="8" s="1"/>
  <c r="G27" i="8" s="1"/>
  <c r="G32" i="8" s="1"/>
  <c r="H83" i="1"/>
  <c r="I11" i="7" l="1"/>
  <c r="I27" i="7" s="1"/>
  <c r="I13" i="7" s="1"/>
  <c r="I73" i="1" s="1"/>
  <c r="I75" i="1" s="1"/>
  <c r="I84" i="1" s="1"/>
  <c r="H103" i="1"/>
  <c r="H77" i="1" s="1"/>
  <c r="H91" i="1"/>
  <c r="H92" i="1"/>
  <c r="H98" i="1"/>
  <c r="H99" i="1"/>
  <c r="H102" i="1" s="1"/>
  <c r="G26" i="8"/>
  <c r="G39" i="8"/>
  <c r="G40" i="8" s="1"/>
  <c r="I15" i="7" l="1"/>
  <c r="I17" i="8" s="1"/>
  <c r="I66" i="8" s="1"/>
  <c r="H93" i="1"/>
  <c r="H14" i="4" s="1"/>
  <c r="H13" i="8"/>
  <c r="H11" i="8" s="1"/>
  <c r="H30" i="8" s="1"/>
  <c r="H100" i="1"/>
  <c r="I97" i="1" s="1"/>
  <c r="H79" i="1"/>
  <c r="H62" i="8" s="1"/>
  <c r="I85" i="1"/>
  <c r="I12" i="8" s="1"/>
  <c r="H86" i="1"/>
  <c r="I83" i="1" s="1"/>
  <c r="G25" i="4"/>
  <c r="G22" i="4" s="1"/>
  <c r="H38" i="8"/>
  <c r="G31" i="8"/>
  <c r="G33" i="8" s="1"/>
  <c r="G23" i="8"/>
  <c r="G9" i="8" s="1"/>
  <c r="I98" i="1"/>
  <c r="I91" i="1"/>
  <c r="H68" i="8" l="1"/>
  <c r="I16" i="7"/>
  <c r="J11" i="7" s="1"/>
  <c r="J27" i="7" s="1"/>
  <c r="J15" i="7" s="1"/>
  <c r="I90" i="1"/>
  <c r="I99" i="1" s="1"/>
  <c r="I102" i="1" s="1"/>
  <c r="I103" i="1" s="1"/>
  <c r="I92" i="1" s="1"/>
  <c r="I13" i="8" s="1"/>
  <c r="H24" i="4"/>
  <c r="H43" i="8"/>
  <c r="H42" i="8" s="1"/>
  <c r="H27" i="8" s="1"/>
  <c r="H32" i="8" s="1"/>
  <c r="H29" i="8"/>
  <c r="G11" i="4"/>
  <c r="G9" i="4" s="1"/>
  <c r="G28" i="4" s="1"/>
  <c r="H35" i="8" l="1"/>
  <c r="H39" i="8" s="1"/>
  <c r="H40" i="8" s="1"/>
  <c r="I20" i="4"/>
  <c r="I17" i="4" s="1"/>
  <c r="J13" i="7"/>
  <c r="J17" i="8" s="1"/>
  <c r="J66" i="8" s="1"/>
  <c r="I93" i="1"/>
  <c r="I14" i="4" s="1"/>
  <c r="I100" i="1"/>
  <c r="J97" i="1" s="1"/>
  <c r="I77" i="1"/>
  <c r="I79" i="1"/>
  <c r="I62" i="8" s="1"/>
  <c r="I86" i="1"/>
  <c r="I38" i="8" l="1"/>
  <c r="H25" i="4"/>
  <c r="H22" i="4" s="1"/>
  <c r="H26" i="8"/>
  <c r="H23" i="8" s="1"/>
  <c r="H9" i="8" s="1"/>
  <c r="J73" i="1"/>
  <c r="J75" i="1" s="1"/>
  <c r="J91" i="1" s="1"/>
  <c r="I68" i="8"/>
  <c r="J16" i="7"/>
  <c r="J20" i="4" s="1"/>
  <c r="J17" i="4" s="1"/>
  <c r="J90" i="1"/>
  <c r="I24" i="4"/>
  <c r="I11" i="8"/>
  <c r="I30" i="8" s="1"/>
  <c r="I43" i="8"/>
  <c r="I42" i="8" s="1"/>
  <c r="I27" i="8" s="1"/>
  <c r="I32" i="8" s="1"/>
  <c r="J83" i="1"/>
  <c r="K11" i="7" l="1"/>
  <c r="K27" i="7" s="1"/>
  <c r="K13" i="7" s="1"/>
  <c r="H31" i="8"/>
  <c r="H33" i="8" s="1"/>
  <c r="H11" i="4" s="1"/>
  <c r="H9" i="4" s="1"/>
  <c r="H28" i="4" s="1"/>
  <c r="J98" i="1"/>
  <c r="J84" i="1"/>
  <c r="J85" i="1" s="1"/>
  <c r="J12" i="8" s="1"/>
  <c r="J99" i="1"/>
  <c r="K15" i="7" l="1"/>
  <c r="K17" i="8" s="1"/>
  <c r="K66" i="8" s="1"/>
  <c r="I29" i="8"/>
  <c r="I35" i="8" s="1"/>
  <c r="I39" i="8" s="1"/>
  <c r="I40" i="8" s="1"/>
  <c r="J100" i="1"/>
  <c r="K97" i="1" s="1"/>
  <c r="J102" i="1"/>
  <c r="J103" i="1" s="1"/>
  <c r="J92" i="1" s="1"/>
  <c r="J13" i="8" s="1"/>
  <c r="K73" i="1"/>
  <c r="K75" i="1" s="1"/>
  <c r="K84" i="1" s="1"/>
  <c r="K16" i="7" l="1"/>
  <c r="K20" i="4" s="1"/>
  <c r="K17" i="4" s="1"/>
  <c r="I26" i="8"/>
  <c r="I31" i="8" s="1"/>
  <c r="I33" i="8" s="1"/>
  <c r="J93" i="1"/>
  <c r="J14" i="4" s="1"/>
  <c r="K85" i="1"/>
  <c r="K12" i="8" s="1"/>
  <c r="K98" i="1"/>
  <c r="K91" i="1"/>
  <c r="I25" i="4"/>
  <c r="I22" i="4" s="1"/>
  <c r="J38" i="8"/>
  <c r="L11" i="7"/>
  <c r="L27" i="7" s="1"/>
  <c r="I23" i="8" l="1"/>
  <c r="I9" i="8" s="1"/>
  <c r="K90" i="1"/>
  <c r="K99" i="1" s="1"/>
  <c r="K100" i="1" s="1"/>
  <c r="L97" i="1" s="1"/>
  <c r="L13" i="7"/>
  <c r="L15" i="7"/>
  <c r="J29" i="8"/>
  <c r="I11" i="4"/>
  <c r="I9" i="4" s="1"/>
  <c r="I28" i="4" s="1"/>
  <c r="K102" i="1" l="1"/>
  <c r="K103" i="1" s="1"/>
  <c r="K92" i="1" s="1"/>
  <c r="K13" i="8" s="1"/>
  <c r="L17" i="8"/>
  <c r="L66" i="8" s="1"/>
  <c r="L73" i="1"/>
  <c r="L75" i="1" s="1"/>
  <c r="L84" i="1" s="1"/>
  <c r="L16" i="7"/>
  <c r="L20" i="4" s="1"/>
  <c r="L17" i="4" s="1"/>
  <c r="L85" i="1" l="1"/>
  <c r="L12" i="8" s="1"/>
  <c r="L98" i="1"/>
  <c r="K93" i="1"/>
  <c r="K14" i="4" s="1"/>
  <c r="L91" i="1"/>
  <c r="M11" i="7"/>
  <c r="M27" i="7" s="1"/>
  <c r="M13" i="7" s="1"/>
  <c r="L90" i="1" l="1"/>
  <c r="L99" i="1" s="1"/>
  <c r="L102" i="1" s="1"/>
  <c r="L103" i="1" s="1"/>
  <c r="M15" i="7"/>
  <c r="M17" i="8" s="1"/>
  <c r="M66" i="8" s="1"/>
  <c r="M73" i="1"/>
  <c r="M75" i="1" s="1"/>
  <c r="M84" i="1" s="1"/>
  <c r="M85" i="1" l="1"/>
  <c r="M12" i="8" s="1"/>
  <c r="L100" i="1"/>
  <c r="M97" i="1" s="1"/>
  <c r="M98" i="1"/>
  <c r="L79" i="1"/>
  <c r="L62" i="8" s="1"/>
  <c r="L77" i="1"/>
  <c r="L92" i="1"/>
  <c r="L13" i="8" s="1"/>
  <c r="M91" i="1"/>
  <c r="M16" i="7"/>
  <c r="M20" i="4" s="1"/>
  <c r="M17" i="4" s="1"/>
  <c r="L68" i="8" l="1"/>
  <c r="L93" i="1"/>
  <c r="L14" i="4" s="1"/>
  <c r="N11" i="7"/>
  <c r="N27" i="7" s="1"/>
  <c r="M90" i="1" l="1"/>
  <c r="M99" i="1" s="1"/>
  <c r="M102" i="1" s="1"/>
  <c r="M103" i="1" s="1"/>
  <c r="M92" i="1" s="1"/>
  <c r="M93" i="1" s="1"/>
  <c r="M14" i="4" s="1"/>
  <c r="N13" i="7"/>
  <c r="N15" i="7"/>
  <c r="M100" i="1" l="1"/>
  <c r="N97" i="1" s="1"/>
  <c r="M79" i="1"/>
  <c r="M62" i="8" s="1"/>
  <c r="M77" i="1"/>
  <c r="N90" i="1"/>
  <c r="M13" i="8"/>
  <c r="N17" i="8"/>
  <c r="N66" i="8" s="1"/>
  <c r="N73" i="1"/>
  <c r="N75" i="1" s="1"/>
  <c r="N84" i="1" s="1"/>
  <c r="N16" i="7"/>
  <c r="M68" i="8" l="1"/>
  <c r="N85" i="1"/>
  <c r="N12" i="8" s="1"/>
  <c r="N98" i="1"/>
  <c r="N99" i="1"/>
  <c r="N91" i="1"/>
  <c r="N20" i="4"/>
  <c r="N17" i="4" s="1"/>
  <c r="O11" i="7"/>
  <c r="N102" i="1" l="1"/>
  <c r="N103" i="1" s="1"/>
  <c r="N100" i="1"/>
  <c r="O27" i="7"/>
  <c r="N79" i="1" l="1"/>
  <c r="N62" i="8" s="1"/>
  <c r="N92" i="1"/>
  <c r="N13" i="8" s="1"/>
  <c r="N77" i="1"/>
  <c r="O15" i="7"/>
  <c r="O13" i="7"/>
  <c r="N68" i="8" l="1"/>
  <c r="N93" i="1"/>
  <c r="N14" i="4" s="1"/>
  <c r="O17" i="8"/>
  <c r="O66" i="8" s="1"/>
  <c r="O73" i="1"/>
  <c r="O75" i="1" s="1"/>
  <c r="O84" i="1" s="1"/>
  <c r="O16" i="7"/>
  <c r="O85" i="1" l="1"/>
  <c r="O12" i="8" s="1"/>
  <c r="O90" i="1"/>
  <c r="O99" i="1" s="1"/>
  <c r="O98" i="1"/>
  <c r="O91" i="1"/>
  <c r="P11" i="7"/>
  <c r="P27" i="7" s="1"/>
  <c r="O20" i="4"/>
  <c r="O17" i="4" s="1"/>
  <c r="P15" i="7" l="1"/>
  <c r="P13" i="7"/>
  <c r="P73" i="1" l="1"/>
  <c r="P75" i="1" s="1"/>
  <c r="P84" i="1" s="1"/>
  <c r="P17" i="8"/>
  <c r="P66" i="8" s="1"/>
  <c r="P16" i="7"/>
  <c r="P85" i="1" l="1"/>
  <c r="P12" i="8" s="1"/>
  <c r="P98" i="1"/>
  <c r="P91" i="1"/>
  <c r="Q11" i="7"/>
  <c r="Q27" i="7" s="1"/>
  <c r="P20" i="4"/>
  <c r="P17" i="4" s="1"/>
  <c r="Q15" i="7" l="1"/>
  <c r="Q13" i="7"/>
  <c r="Q73" i="1" l="1"/>
  <c r="Q75" i="1" s="1"/>
  <c r="Q84" i="1" s="1"/>
  <c r="Q17" i="8"/>
  <c r="Q66" i="8" s="1"/>
  <c r="Q16" i="7"/>
  <c r="Q85" i="1" l="1"/>
  <c r="Q12" i="8" s="1"/>
  <c r="Q98" i="1"/>
  <c r="Q91" i="1"/>
  <c r="R11" i="7"/>
  <c r="R27" i="7" s="1"/>
  <c r="Q20" i="4"/>
  <c r="Q17" i="4" s="1"/>
  <c r="R13" i="7" l="1"/>
  <c r="R15" i="7"/>
  <c r="R73" i="1" l="1"/>
  <c r="R75" i="1" s="1"/>
  <c r="R84" i="1" s="1"/>
  <c r="R17" i="8"/>
  <c r="R66" i="8" s="1"/>
  <c r="R16" i="7"/>
  <c r="R85" i="1" l="1"/>
  <c r="R12" i="8" s="1"/>
  <c r="R98" i="1"/>
  <c r="R91" i="1"/>
  <c r="S11" i="7"/>
  <c r="S27" i="7" s="1"/>
  <c r="R20" i="4"/>
  <c r="R17" i="4" s="1"/>
  <c r="S13" i="7" l="1"/>
  <c r="S15" i="7"/>
  <c r="S73" i="1" l="1"/>
  <c r="S75" i="1" s="1"/>
  <c r="S84" i="1" s="1"/>
  <c r="S17" i="8"/>
  <c r="S66" i="8" s="1"/>
  <c r="S16" i="7"/>
  <c r="S20" i="4" s="1"/>
  <c r="S17" i="4" s="1"/>
  <c r="S85" i="1" l="1"/>
  <c r="S12" i="8" s="1"/>
  <c r="S98" i="1"/>
  <c r="S91" i="1"/>
  <c r="T11" i="7"/>
  <c r="T27" i="7" s="1"/>
  <c r="T15" i="7" s="1"/>
  <c r="T13" i="7" l="1"/>
  <c r="T73" i="1" s="1"/>
  <c r="T75" i="1" s="1"/>
  <c r="T84" i="1" s="1"/>
  <c r="T85" i="1" l="1"/>
  <c r="T12" i="8" s="1"/>
  <c r="T98" i="1"/>
  <c r="T91" i="1"/>
  <c r="T16" i="7"/>
  <c r="U11" i="7" s="1"/>
  <c r="U27" i="7" s="1"/>
  <c r="T17" i="8"/>
  <c r="T66" i="8" s="1"/>
  <c r="T20" i="4" l="1"/>
  <c r="T17" i="4" s="1"/>
  <c r="U13" i="7"/>
  <c r="U15" i="7"/>
  <c r="U73" i="1" l="1"/>
  <c r="U75" i="1" s="1"/>
  <c r="U84" i="1" s="1"/>
  <c r="U17" i="8"/>
  <c r="U66" i="8" s="1"/>
  <c r="U16" i="7"/>
  <c r="U85" i="1" l="1"/>
  <c r="U12" i="8" s="1"/>
  <c r="U98" i="1"/>
  <c r="U91" i="1"/>
  <c r="V11" i="7"/>
  <c r="V27" i="7" s="1"/>
  <c r="U20" i="4"/>
  <c r="U17" i="4" s="1"/>
  <c r="V13" i="7" l="1"/>
  <c r="V15" i="7"/>
  <c r="V73" i="1" l="1"/>
  <c r="V75" i="1" s="1"/>
  <c r="V84" i="1" s="1"/>
  <c r="V17" i="8"/>
  <c r="V66" i="8" s="1"/>
  <c r="V16" i="7"/>
  <c r="V20" i="4" s="1"/>
  <c r="V17" i="4" s="1"/>
  <c r="V85" i="1" l="1"/>
  <c r="V12" i="8" s="1"/>
  <c r="V98" i="1"/>
  <c r="V91" i="1"/>
  <c r="W11" i="7"/>
  <c r="W27" i="7" s="1"/>
  <c r="W13" i="7" l="1"/>
  <c r="W15" i="7"/>
  <c r="W17" i="8" l="1"/>
  <c r="W66" i="8" s="1"/>
  <c r="W73" i="1"/>
  <c r="W75" i="1" s="1"/>
  <c r="W84" i="1" s="1"/>
  <c r="W16" i="7"/>
  <c r="W85" i="1" l="1"/>
  <c r="W12" i="8" s="1"/>
  <c r="W98" i="1"/>
  <c r="W91" i="1"/>
  <c r="X11" i="7"/>
  <c r="X27" i="7" s="1"/>
  <c r="W20" i="4"/>
  <c r="W17" i="4" s="1"/>
  <c r="X15" i="7" l="1"/>
  <c r="X13" i="7"/>
  <c r="X73" i="1" l="1"/>
  <c r="X75" i="1" s="1"/>
  <c r="X84" i="1" s="1"/>
  <c r="X17" i="8"/>
  <c r="X66" i="8" s="1"/>
  <c r="X16" i="7"/>
  <c r="X85" i="1" l="1"/>
  <c r="X12" i="8" s="1"/>
  <c r="X98" i="1"/>
  <c r="X91" i="1"/>
  <c r="Y11" i="7"/>
  <c r="Y27" i="7" s="1"/>
  <c r="X20" i="4"/>
  <c r="X17" i="4" s="1"/>
  <c r="Y15" i="7" l="1"/>
  <c r="Y13" i="7"/>
  <c r="Y73" i="1" l="1"/>
  <c r="Y75" i="1" s="1"/>
  <c r="Y84" i="1" s="1"/>
  <c r="Y17" i="8"/>
  <c r="Y66" i="8" s="1"/>
  <c r="Y16" i="7"/>
  <c r="Y85" i="1" l="1"/>
  <c r="Y12" i="8" s="1"/>
  <c r="Y98" i="1"/>
  <c r="Y91" i="1"/>
  <c r="Z11" i="7"/>
  <c r="Z27" i="7" s="1"/>
  <c r="Y20" i="4"/>
  <c r="Y17" i="4" s="1"/>
  <c r="Z13" i="7" l="1"/>
  <c r="Z15" i="7"/>
  <c r="Z73" i="1" l="1"/>
  <c r="Z75" i="1" s="1"/>
  <c r="Z84" i="1" s="1"/>
  <c r="Z17" i="8"/>
  <c r="Z66" i="8" s="1"/>
  <c r="Z16" i="7"/>
  <c r="Z20" i="4" s="1"/>
  <c r="Z17" i="4" s="1"/>
  <c r="Z85" i="1" l="1"/>
  <c r="Z12" i="8" s="1"/>
  <c r="Z98" i="1"/>
  <c r="Z91" i="1"/>
  <c r="J79" i="1" l="1"/>
  <c r="J62" i="8" s="1"/>
  <c r="J77" i="1"/>
  <c r="J68" i="8" l="1"/>
  <c r="J86" i="1"/>
  <c r="J24" i="4" s="1"/>
  <c r="J11" i="8"/>
  <c r="J30" i="8" s="1"/>
  <c r="K79" i="1"/>
  <c r="K62" i="8" s="1"/>
  <c r="K77" i="1"/>
  <c r="J35" i="8" l="1"/>
  <c r="J26" i="8" s="1"/>
  <c r="K68" i="8"/>
  <c r="K83" i="1"/>
  <c r="K86" i="1" s="1"/>
  <c r="J43" i="8"/>
  <c r="J42" i="8" s="1"/>
  <c r="J27" i="8" s="1"/>
  <c r="J32" i="8" s="1"/>
  <c r="J39" i="8" l="1"/>
  <c r="J40" i="8" s="1"/>
  <c r="J25" i="4" s="1"/>
  <c r="J22" i="4" s="1"/>
  <c r="J31" i="8"/>
  <c r="J33" i="8" s="1"/>
  <c r="J11" i="4" s="1"/>
  <c r="J9" i="4" s="1"/>
  <c r="J23" i="8"/>
  <c r="J9" i="8" s="1"/>
  <c r="L83" i="1"/>
  <c r="L86" i="1" s="1"/>
  <c r="L11" i="8" s="1"/>
  <c r="L30" i="8" s="1"/>
  <c r="K11" i="8"/>
  <c r="K30" i="8" s="1"/>
  <c r="K43" i="8"/>
  <c r="K24" i="4"/>
  <c r="K29" i="8"/>
  <c r="K38" i="8" l="1"/>
  <c r="J28" i="4"/>
  <c r="K35" i="8"/>
  <c r="M83" i="1"/>
  <c r="M86" i="1" s="1"/>
  <c r="M11" i="8" s="1"/>
  <c r="M30" i="8" s="1"/>
  <c r="L43" i="8"/>
  <c r="L24" i="4"/>
  <c r="N83" i="1" l="1"/>
  <c r="N86" i="1" s="1"/>
  <c r="N11" i="8" s="1"/>
  <c r="N30" i="8" s="1"/>
  <c r="M24" i="4"/>
  <c r="M43" i="8"/>
  <c r="K26" i="8"/>
  <c r="K39" i="8"/>
  <c r="K40" i="8" s="1"/>
  <c r="O83" i="1" l="1"/>
  <c r="N24" i="4"/>
  <c r="N43" i="8"/>
  <c r="K31" i="8"/>
  <c r="K25" i="4"/>
  <c r="K22" i="4" s="1"/>
  <c r="L38" i="8"/>
  <c r="K42" i="8" l="1"/>
  <c r="K27" i="8" s="1"/>
  <c r="K23" i="8" l="1"/>
  <c r="K9" i="8" s="1"/>
  <c r="K32" i="8"/>
  <c r="K33" i="8" s="1"/>
  <c r="L29" i="8" s="1"/>
  <c r="L35" i="8" s="1"/>
  <c r="K11" i="4"/>
  <c r="K9" i="4" s="1"/>
  <c r="K28" i="4" s="1"/>
  <c r="L26" i="8" l="1"/>
  <c r="L39" i="8"/>
  <c r="L40" i="8" s="1"/>
  <c r="L31" i="8" l="1"/>
  <c r="L25" i="4"/>
  <c r="L22" i="4" s="1"/>
  <c r="M38" i="8"/>
  <c r="L42" i="8" l="1"/>
  <c r="L27" i="8" s="1"/>
  <c r="L23" i="8" l="1"/>
  <c r="L9" i="8" s="1"/>
  <c r="L32" i="8"/>
  <c r="L33" i="8" s="1"/>
  <c r="L11" i="4" l="1"/>
  <c r="L9" i="4" s="1"/>
  <c r="L28" i="4" s="1"/>
  <c r="M29" i="8"/>
  <c r="M35" i="8" s="1"/>
  <c r="M26" i="8" s="1"/>
  <c r="M39" i="8" l="1"/>
  <c r="M40" i="8" s="1"/>
  <c r="N38" i="8" s="1"/>
  <c r="M25" i="4"/>
  <c r="M22" i="4" s="1"/>
  <c r="M31" i="8"/>
  <c r="M42" i="8" l="1"/>
  <c r="M27" i="8" l="1"/>
  <c r="M23" i="8" l="1"/>
  <c r="M9" i="8" s="1"/>
  <c r="M32" i="8"/>
  <c r="M33" i="8" s="1"/>
  <c r="M11" i="4" l="1"/>
  <c r="M9" i="4" s="1"/>
  <c r="M28" i="4" s="1"/>
  <c r="N29" i="8"/>
  <c r="N35" i="8" s="1"/>
  <c r="N26" i="8" s="1"/>
  <c r="N31" i="8" s="1"/>
  <c r="N42" i="8" s="1"/>
  <c r="N39" i="8" l="1"/>
  <c r="N40" i="8" s="1"/>
  <c r="N27" i="8"/>
  <c r="N23" i="8" l="1"/>
  <c r="N9" i="8" s="1"/>
  <c r="N32" i="8"/>
  <c r="N33" i="8" s="1"/>
  <c r="O29" i="8" s="1"/>
  <c r="O38" i="8"/>
  <c r="N25" i="4"/>
  <c r="N22" i="4" s="1"/>
  <c r="N11" i="4"/>
  <c r="N9" i="4" s="1"/>
  <c r="O102" i="1"/>
  <c r="O103" i="1" s="1"/>
  <c r="N28" i="4" l="1"/>
  <c r="O92" i="1"/>
  <c r="O13" i="8" s="1"/>
  <c r="O79" i="1"/>
  <c r="O62" i="8" s="1"/>
  <c r="O77" i="1"/>
  <c r="O68" i="8" l="1"/>
  <c r="O93" i="1"/>
  <c r="O14" i="4" s="1"/>
  <c r="O11" i="8"/>
  <c r="O30" i="8" s="1"/>
  <c r="O35" i="8" s="1"/>
  <c r="O86" i="1"/>
  <c r="O43" i="8" s="1"/>
  <c r="P90" i="1" l="1"/>
  <c r="P99" i="1" s="1"/>
  <c r="P102" i="1" s="1"/>
  <c r="P103" i="1" s="1"/>
  <c r="P92" i="1" s="1"/>
  <c r="P13" i="8" s="1"/>
  <c r="P83" i="1"/>
  <c r="O24" i="4"/>
  <c r="P77" i="1" l="1"/>
  <c r="P79" i="1"/>
  <c r="P62" i="8" s="1"/>
  <c r="P93" i="1"/>
  <c r="P14" i="4" s="1"/>
  <c r="P11" i="8"/>
  <c r="P30" i="8" s="1"/>
  <c r="P86" i="1"/>
  <c r="P43" i="8" s="1"/>
  <c r="O39" i="8"/>
  <c r="O40" i="8" s="1"/>
  <c r="O26" i="8"/>
  <c r="P68" i="8" l="1"/>
  <c r="Q90" i="1"/>
  <c r="Q99" i="1" s="1"/>
  <c r="Q102" i="1" s="1"/>
  <c r="Q103" i="1" s="1"/>
  <c r="Q77" i="1" s="1"/>
  <c r="P24" i="4"/>
  <c r="Q83" i="1"/>
  <c r="O25" i="4"/>
  <c r="O22" i="4" s="1"/>
  <c r="P38" i="8"/>
  <c r="O31" i="8"/>
  <c r="Q79" i="1" l="1"/>
  <c r="Q62" i="8" s="1"/>
  <c r="Q92" i="1"/>
  <c r="Q86" i="1"/>
  <c r="O42" i="8"/>
  <c r="O27" i="8" l="1"/>
  <c r="Q68" i="8"/>
  <c r="Q93" i="1"/>
  <c r="Q14" i="4" s="1"/>
  <c r="Q13" i="8"/>
  <c r="Q11" i="8" s="1"/>
  <c r="Q30" i="8" s="1"/>
  <c r="Q43" i="8"/>
  <c r="R83" i="1"/>
  <c r="Q24" i="4"/>
  <c r="O23" i="8" l="1"/>
  <c r="O9" i="8" s="1"/>
  <c r="O32" i="8"/>
  <c r="O33" i="8" s="1"/>
  <c r="R90" i="1"/>
  <c r="R99" i="1" s="1"/>
  <c r="R102" i="1" s="1"/>
  <c r="R103" i="1" s="1"/>
  <c r="R79" i="1" s="1"/>
  <c r="R62" i="8" s="1"/>
  <c r="R86" i="1"/>
  <c r="O11" i="4" l="1"/>
  <c r="O9" i="4" s="1"/>
  <c r="O28" i="4" s="1"/>
  <c r="P29" i="8"/>
  <c r="P35" i="8" s="1"/>
  <c r="R68" i="8"/>
  <c r="R77" i="1"/>
  <c r="R92" i="1"/>
  <c r="R13" i="8" s="1"/>
  <c r="R11" i="8" s="1"/>
  <c r="R30" i="8" s="1"/>
  <c r="R24" i="4"/>
  <c r="S83" i="1"/>
  <c r="R43" i="8"/>
  <c r="P39" i="8"/>
  <c r="P40" i="8" s="1"/>
  <c r="P26" i="8"/>
  <c r="R93" i="1" l="1"/>
  <c r="R14" i="4" s="1"/>
  <c r="S86" i="1"/>
  <c r="Q38" i="8"/>
  <c r="P25" i="4"/>
  <c r="P22" i="4" s="1"/>
  <c r="P31" i="8"/>
  <c r="S90" i="1" l="1"/>
  <c r="S99" i="1" s="1"/>
  <c r="S102" i="1" s="1"/>
  <c r="S103" i="1" s="1"/>
  <c r="S79" i="1" s="1"/>
  <c r="S62" i="8" s="1"/>
  <c r="T83" i="1"/>
  <c r="S24" i="4"/>
  <c r="S43" i="8"/>
  <c r="P42" i="8"/>
  <c r="P27" i="8" l="1"/>
  <c r="S68" i="8"/>
  <c r="S92" i="1"/>
  <c r="S93" i="1" s="1"/>
  <c r="T90" i="1" s="1"/>
  <c r="T99" i="1" s="1"/>
  <c r="T102" i="1" s="1"/>
  <c r="T103" i="1" s="1"/>
  <c r="T92" i="1" s="1"/>
  <c r="T13" i="8" s="1"/>
  <c r="T11" i="8" s="1"/>
  <c r="T30" i="8" s="1"/>
  <c r="S77" i="1"/>
  <c r="T86" i="1"/>
  <c r="P23" i="8" l="1"/>
  <c r="P9" i="8" s="1"/>
  <c r="P32" i="8"/>
  <c r="P33" i="8" s="1"/>
  <c r="S13" i="8"/>
  <c r="S11" i="8" s="1"/>
  <c r="S30" i="8" s="1"/>
  <c r="S14" i="4"/>
  <c r="T77" i="1"/>
  <c r="T93" i="1"/>
  <c r="T14" i="4" s="1"/>
  <c r="T79" i="1"/>
  <c r="T62" i="8" s="1"/>
  <c r="U83" i="1"/>
  <c r="T24" i="4"/>
  <c r="T43" i="8"/>
  <c r="Q29" i="8" l="1"/>
  <c r="Q35" i="8" s="1"/>
  <c r="Q26" i="8" s="1"/>
  <c r="P11" i="4"/>
  <c r="P9" i="4" s="1"/>
  <c r="P28" i="4" s="1"/>
  <c r="T68" i="8"/>
  <c r="U90" i="1"/>
  <c r="U99" i="1" s="1"/>
  <c r="U102" i="1" s="1"/>
  <c r="U103" i="1" s="1"/>
  <c r="U92" i="1" s="1"/>
  <c r="U13" i="8" s="1"/>
  <c r="U86" i="1"/>
  <c r="Q39" i="8"/>
  <c r="Q40" i="8" s="1"/>
  <c r="U11" i="8" l="1"/>
  <c r="U30" i="8" s="1"/>
  <c r="U93" i="1"/>
  <c r="U14" i="4" s="1"/>
  <c r="U79" i="1"/>
  <c r="U62" i="8" s="1"/>
  <c r="U77" i="1"/>
  <c r="V83" i="1"/>
  <c r="U43" i="8"/>
  <c r="U24" i="4"/>
  <c r="R38" i="8"/>
  <c r="Q25" i="4"/>
  <c r="Q22" i="4" s="1"/>
  <c r="Q31" i="8"/>
  <c r="U68" i="8" l="1"/>
  <c r="V90" i="1"/>
  <c r="V99" i="1" s="1"/>
  <c r="V102" i="1" s="1"/>
  <c r="V103" i="1" s="1"/>
  <c r="V77" i="1" s="1"/>
  <c r="V86" i="1"/>
  <c r="Q42" i="8"/>
  <c r="Q27" i="8" l="1"/>
  <c r="V79" i="1"/>
  <c r="V62" i="8" s="1"/>
  <c r="V92" i="1"/>
  <c r="V93" i="1" s="1"/>
  <c r="W90" i="1" s="1"/>
  <c r="W99" i="1" s="1"/>
  <c r="W102" i="1" s="1"/>
  <c r="W103" i="1" s="1"/>
  <c r="W77" i="1" s="1"/>
  <c r="V24" i="4"/>
  <c r="V43" i="8"/>
  <c r="W83" i="1"/>
  <c r="Q23" i="8" l="1"/>
  <c r="Q9" i="8" s="1"/>
  <c r="Q32" i="8"/>
  <c r="Q33" i="8" s="1"/>
  <c r="V68" i="8"/>
  <c r="V13" i="8"/>
  <c r="V11" i="8" s="1"/>
  <c r="V30" i="8" s="1"/>
  <c r="V14" i="4"/>
  <c r="W92" i="1"/>
  <c r="W79" i="1"/>
  <c r="W62" i="8" s="1"/>
  <c r="W86" i="1"/>
  <c r="R29" i="8" l="1"/>
  <c r="R35" i="8" s="1"/>
  <c r="R39" i="8" s="1"/>
  <c r="R40" i="8" s="1"/>
  <c r="Q11" i="4"/>
  <c r="Q9" i="4" s="1"/>
  <c r="Q28" i="4" s="1"/>
  <c r="W68" i="8"/>
  <c r="W93" i="1"/>
  <c r="X90" i="1" s="1"/>
  <c r="X99" i="1" s="1"/>
  <c r="X102" i="1" s="1"/>
  <c r="X103" i="1" s="1"/>
  <c r="X79" i="1" s="1"/>
  <c r="X62" i="8" s="1"/>
  <c r="W13" i="8"/>
  <c r="W11" i="8" s="1"/>
  <c r="W30" i="8" s="1"/>
  <c r="W43" i="8"/>
  <c r="W24" i="4"/>
  <c r="X83" i="1"/>
  <c r="R26" i="8" l="1"/>
  <c r="X68" i="8"/>
  <c r="W14" i="4"/>
  <c r="X77" i="1"/>
  <c r="X92" i="1"/>
  <c r="X13" i="8" s="1"/>
  <c r="X86" i="1"/>
  <c r="S38" i="8"/>
  <c r="R25" i="4"/>
  <c r="R22" i="4" s="1"/>
  <c r="R31" i="8"/>
  <c r="X93" i="1" l="1"/>
  <c r="X11" i="8"/>
  <c r="X30" i="8" s="1"/>
  <c r="X24" i="4"/>
  <c r="Y83" i="1"/>
  <c r="X43" i="8"/>
  <c r="R42" i="8"/>
  <c r="R27" i="8" l="1"/>
  <c r="X14" i="4"/>
  <c r="Y90" i="1"/>
  <c r="Y99" i="1" s="1"/>
  <c r="Y102" i="1" s="1"/>
  <c r="Y103" i="1" s="1"/>
  <c r="Y86" i="1"/>
  <c r="R23" i="8" l="1"/>
  <c r="R9" i="8" s="1"/>
  <c r="R32" i="8"/>
  <c r="R33" i="8" s="1"/>
  <c r="Y77" i="1"/>
  <c r="Y92" i="1"/>
  <c r="Y79" i="1"/>
  <c r="Y62" i="8" s="1"/>
  <c r="Y24" i="4"/>
  <c r="Y43" i="8"/>
  <c r="Z83" i="1"/>
  <c r="R11" i="4" l="1"/>
  <c r="R9" i="4" s="1"/>
  <c r="R28" i="4" s="1"/>
  <c r="S29" i="8"/>
  <c r="S35" i="8" s="1"/>
  <c r="Y68" i="8"/>
  <c r="Y13" i="8"/>
  <c r="Y11" i="8" s="1"/>
  <c r="Y30" i="8" s="1"/>
  <c r="Y93" i="1"/>
  <c r="Z86" i="1"/>
  <c r="S39" i="8"/>
  <c r="S40" i="8" s="1"/>
  <c r="S26" i="8"/>
  <c r="Y14" i="4" l="1"/>
  <c r="Z90" i="1"/>
  <c r="Z43" i="8"/>
  <c r="Z24" i="4"/>
  <c r="S31" i="8"/>
  <c r="T38" i="8"/>
  <c r="S25" i="4"/>
  <c r="S22" i="4" s="1"/>
  <c r="Z99" i="1" l="1"/>
  <c r="Z102" i="1" s="1"/>
  <c r="Z103" i="1" s="1"/>
  <c r="S42" i="8"/>
  <c r="S27" i="8" l="1"/>
  <c r="Z92" i="1"/>
  <c r="Z77" i="1"/>
  <c r="Z79" i="1"/>
  <c r="Z62" i="8" s="1"/>
  <c r="S23" i="8" l="1"/>
  <c r="S9" i="8" s="1"/>
  <c r="S32" i="8"/>
  <c r="S33" i="8" s="1"/>
  <c r="Z68" i="8"/>
  <c r="Z13" i="8"/>
  <c r="Z11" i="8" s="1"/>
  <c r="Z30" i="8" s="1"/>
  <c r="Z93" i="1"/>
  <c r="Z14" i="4" s="1"/>
  <c r="T29" i="8" l="1"/>
  <c r="T35" i="8" s="1"/>
  <c r="S11" i="4"/>
  <c r="S9" i="4" s="1"/>
  <c r="S28" i="4" s="1"/>
  <c r="C70" i="8"/>
  <c r="C72" i="8"/>
  <c r="T26" i="8"/>
  <c r="T39" i="8"/>
  <c r="T40" i="8" s="1"/>
  <c r="T25" i="4" l="1"/>
  <c r="T22" i="4" s="1"/>
  <c r="U38" i="8"/>
  <c r="T31" i="8"/>
  <c r="T42" i="8" l="1"/>
  <c r="T27" i="8" l="1"/>
  <c r="T23" i="8" l="1"/>
  <c r="T9" i="8" s="1"/>
  <c r="T32" i="8"/>
  <c r="T33" i="8" s="1"/>
  <c r="U29" i="8" l="1"/>
  <c r="U35" i="8" s="1"/>
  <c r="T11" i="4"/>
  <c r="T9" i="4" s="1"/>
  <c r="T28" i="4" s="1"/>
  <c r="U26" i="8" l="1"/>
  <c r="U31" i="8" s="1"/>
  <c r="U39" i="8"/>
  <c r="U40" i="8" s="1"/>
  <c r="U42" i="8"/>
  <c r="V38" i="8" l="1"/>
  <c r="U25" i="4"/>
  <c r="U22" i="4" s="1"/>
  <c r="U27" i="8"/>
  <c r="U23" i="8" l="1"/>
  <c r="U9" i="8" s="1"/>
  <c r="U32" i="8"/>
  <c r="U33" i="8" s="1"/>
  <c r="U11" i="4" l="1"/>
  <c r="U9" i="4" s="1"/>
  <c r="U28" i="4" s="1"/>
  <c r="V29" i="8"/>
  <c r="V35" i="8" s="1"/>
  <c r="V39" i="8" l="1"/>
  <c r="V40" i="8" s="1"/>
  <c r="V26" i="8"/>
  <c r="V31" i="8" s="1"/>
  <c r="V42" i="8" s="1"/>
  <c r="V25" i="4" l="1"/>
  <c r="V22" i="4" s="1"/>
  <c r="W38" i="8"/>
  <c r="V27" i="8"/>
  <c r="V23" i="8" l="1"/>
  <c r="V9" i="8" s="1"/>
  <c r="V32" i="8"/>
  <c r="V33" i="8" s="1"/>
  <c r="W29" i="8" l="1"/>
  <c r="W35" i="8" s="1"/>
  <c r="V11" i="4"/>
  <c r="V9" i="4" s="1"/>
  <c r="V28" i="4" s="1"/>
  <c r="W39" i="8" l="1"/>
  <c r="W40" i="8" s="1"/>
  <c r="W26" i="8"/>
  <c r="W31" i="8" s="1"/>
  <c r="W42" i="8" s="1"/>
  <c r="X38" i="8" l="1"/>
  <c r="W25" i="4"/>
  <c r="W22" i="4" s="1"/>
  <c r="W27" i="8"/>
  <c r="W23" i="8" l="1"/>
  <c r="W9" i="8" s="1"/>
  <c r="W32" i="8"/>
  <c r="W33" i="8" s="1"/>
  <c r="X29" i="8" l="1"/>
  <c r="X35" i="8" s="1"/>
  <c r="W11" i="4"/>
  <c r="W9" i="4" s="1"/>
  <c r="W28" i="4" s="1"/>
  <c r="X39" i="8" l="1"/>
  <c r="X40" i="8" s="1"/>
  <c r="X26" i="8"/>
  <c r="X31" i="8" s="1"/>
  <c r="X42" i="8" s="1"/>
  <c r="Y38" i="8" l="1"/>
  <c r="X25" i="4"/>
  <c r="X22" i="4" s="1"/>
  <c r="X27" i="8"/>
  <c r="X23" i="8" l="1"/>
  <c r="X9" i="8" s="1"/>
  <c r="X32" i="8"/>
  <c r="X33" i="8" s="1"/>
  <c r="Y29" i="8" l="1"/>
  <c r="Y35" i="8" s="1"/>
  <c r="X11" i="4"/>
  <c r="X9" i="4" s="1"/>
  <c r="X28" i="4" s="1"/>
  <c r="Y26" i="8" l="1"/>
  <c r="Y31" i="8" s="1"/>
  <c r="Y39" i="8"/>
  <c r="Y40" i="8" s="1"/>
  <c r="Y42" i="8"/>
  <c r="Y25" i="4" l="1"/>
  <c r="Y22" i="4" s="1"/>
  <c r="Z38" i="8"/>
  <c r="Y27" i="8"/>
  <c r="Y23" i="8" l="1"/>
  <c r="Y9" i="8" s="1"/>
  <c r="Y32" i="8"/>
  <c r="Y33" i="8" s="1"/>
  <c r="Z29" i="8" l="1"/>
  <c r="Z35" i="8" s="1"/>
  <c r="Y11" i="4"/>
  <c r="Y9" i="4" s="1"/>
  <c r="Y28" i="4" s="1"/>
  <c r="Z26" i="8" l="1"/>
  <c r="Z31" i="8" s="1"/>
  <c r="Z39" i="8"/>
  <c r="Z40" i="8" s="1"/>
  <c r="Z25" i="4" s="1"/>
  <c r="Z22" i="4" s="1"/>
  <c r="Z42" i="8"/>
  <c r="Z27" i="8" l="1"/>
  <c r="Z23" i="8" l="1"/>
  <c r="Z9" i="8" s="1"/>
  <c r="Z32" i="8"/>
  <c r="Z33" i="8" s="1"/>
  <c r="Z11" i="4" s="1"/>
  <c r="Z9" i="4" s="1"/>
  <c r="Z28" i="4" s="1"/>
</calcChain>
</file>

<file path=xl/sharedStrings.xml><?xml version="1.0" encoding="utf-8"?>
<sst xmlns="http://schemas.openxmlformats.org/spreadsheetml/2006/main" count="268" uniqueCount="156">
  <si>
    <t>Volume/Operacional</t>
  </si>
  <si>
    <t>Produto 1</t>
  </si>
  <si>
    <t>Produto 2</t>
  </si>
  <si>
    <t>Produto 3</t>
  </si>
  <si>
    <t>Produto 4</t>
  </si>
  <si>
    <t>Preços</t>
  </si>
  <si>
    <t>Preço Produto 1</t>
  </si>
  <si>
    <t>Preço Produto 2</t>
  </si>
  <si>
    <t>Preço Produto 3</t>
  </si>
  <si>
    <t>Preço Produto 4</t>
  </si>
  <si>
    <t>Receita Produto 1</t>
  </si>
  <si>
    <t>Receita Produto 2</t>
  </si>
  <si>
    <t>Receita Produto 3</t>
  </si>
  <si>
    <t>Receita Produto 4</t>
  </si>
  <si>
    <t>Inflação</t>
  </si>
  <si>
    <t>Crescimento</t>
  </si>
  <si>
    <t>Receita Bruta</t>
  </si>
  <si>
    <t>Impostos sobre Receita</t>
  </si>
  <si>
    <t>PIS</t>
  </si>
  <si>
    <t>COFINS</t>
  </si>
  <si>
    <t>ISS</t>
  </si>
  <si>
    <t>ICMS</t>
  </si>
  <si>
    <t>Receita Líquida</t>
  </si>
  <si>
    <t>Check</t>
  </si>
  <si>
    <t>Custos Operacionais</t>
  </si>
  <si>
    <t>Custo Produto 1</t>
  </si>
  <si>
    <t>Custo Produto 2</t>
  </si>
  <si>
    <t>Custo Produto 3</t>
  </si>
  <si>
    <t>Custo Produto 4</t>
  </si>
  <si>
    <t>Fixo</t>
  </si>
  <si>
    <t>Variável</t>
  </si>
  <si>
    <t>Lucro Bruto</t>
  </si>
  <si>
    <t>SG&amp;A</t>
  </si>
  <si>
    <t>Administrativo</t>
  </si>
  <si>
    <t>Comercial</t>
  </si>
  <si>
    <t>Outros</t>
  </si>
  <si>
    <t>EBITDA</t>
  </si>
  <si>
    <t>Depreciação</t>
  </si>
  <si>
    <t>Depreciação/Amortização</t>
  </si>
  <si>
    <t>EBIT</t>
  </si>
  <si>
    <t>Receita Financeira</t>
  </si>
  <si>
    <t>Despesa Financeira</t>
  </si>
  <si>
    <t>EBT</t>
  </si>
  <si>
    <t>Imposto de Renda</t>
  </si>
  <si>
    <t>Lucro Líquido</t>
  </si>
  <si>
    <t>CAPEX</t>
  </si>
  <si>
    <t>Saldo Inicial</t>
  </si>
  <si>
    <t>(+) Adições</t>
  </si>
  <si>
    <t>(-) Depreciação</t>
  </si>
  <si>
    <t>Saldo Final</t>
  </si>
  <si>
    <t>Novos Investimentos</t>
  </si>
  <si>
    <t>Reinvestimento</t>
  </si>
  <si>
    <t>Adição</t>
  </si>
  <si>
    <t>Vida útil</t>
  </si>
  <si>
    <t>anos</t>
  </si>
  <si>
    <t>Saldo Imobilizado</t>
  </si>
  <si>
    <t>invest. Inicial</t>
  </si>
  <si>
    <t>Saldo Empréstimos</t>
  </si>
  <si>
    <t>(-) Amortização</t>
  </si>
  <si>
    <t>Dívida</t>
  </si>
  <si>
    <t>Vigência</t>
  </si>
  <si>
    <t>Amortização</t>
  </si>
  <si>
    <t>Juros</t>
  </si>
  <si>
    <t>Spread</t>
  </si>
  <si>
    <t>IPCA</t>
  </si>
  <si>
    <t>(-) Pagamento Juros</t>
  </si>
  <si>
    <t>(+) Juros Incorridos</t>
  </si>
  <si>
    <t>Contas a Receber</t>
  </si>
  <si>
    <t>Contas a Pagar</t>
  </si>
  <si>
    <t>Dias/ano</t>
  </si>
  <si>
    <t>Estoque</t>
  </si>
  <si>
    <t>CPV</t>
  </si>
  <si>
    <t>CPV &amp; Despesas</t>
  </si>
  <si>
    <t>PMR</t>
  </si>
  <si>
    <t>PME</t>
  </si>
  <si>
    <t>PMP</t>
  </si>
  <si>
    <t>Capital de Giro</t>
  </si>
  <si>
    <t>Saldo</t>
  </si>
  <si>
    <t>Var. Capital de Giro</t>
  </si>
  <si>
    <t>Ativo</t>
  </si>
  <si>
    <t>Caixa</t>
  </si>
  <si>
    <t>Passivo</t>
  </si>
  <si>
    <t>Imobilizado</t>
  </si>
  <si>
    <t>Empréstimo</t>
  </si>
  <si>
    <t>PL</t>
  </si>
  <si>
    <t>Resultado Acumulado</t>
  </si>
  <si>
    <t>(-) Investimentos</t>
  </si>
  <si>
    <t>(+) Depreciação</t>
  </si>
  <si>
    <t>(-) Amortização Dívida</t>
  </si>
  <si>
    <t>(+) Captação Dívida</t>
  </si>
  <si>
    <t>Saldo inicial</t>
  </si>
  <si>
    <t>Margem EBITDA</t>
  </si>
  <si>
    <t>VPL</t>
  </si>
  <si>
    <t>TIR</t>
  </si>
  <si>
    <t>WACC</t>
  </si>
  <si>
    <t>FFCF</t>
  </si>
  <si>
    <t>FFCE</t>
  </si>
  <si>
    <t>Ke  (USD) = Rf + (Beta * (Rm-Rf)) + Rc</t>
  </si>
  <si>
    <t>Beta Unlevered</t>
  </si>
  <si>
    <t>Beta Levered</t>
  </si>
  <si>
    <t>Long Term Inflation USD</t>
  </si>
  <si>
    <t>Long Term Inflation BR</t>
  </si>
  <si>
    <t>Inflation Differential</t>
  </si>
  <si>
    <t>Ke BR</t>
  </si>
  <si>
    <t>Kd</t>
  </si>
  <si>
    <t>taxes</t>
  </si>
  <si>
    <t>Kd (1-t)</t>
  </si>
  <si>
    <t>D/(D+E)</t>
  </si>
  <si>
    <t>E/(D+E)</t>
  </si>
  <si>
    <t>WACC = (Ke*E/(D+E))+(Kd*(D/(D+E))</t>
  </si>
  <si>
    <t>Country Risk</t>
  </si>
  <si>
    <t>Risk Premium (Rm-Rf)</t>
  </si>
  <si>
    <t>Risk Free US</t>
  </si>
  <si>
    <t>Impostos</t>
  </si>
  <si>
    <t>NOPAT</t>
  </si>
  <si>
    <t>(+/-) Var. Capital de Giro</t>
  </si>
  <si>
    <t>Fluxo de Caixa Operacional</t>
  </si>
  <si>
    <t>Fluxo de Caixa de Investimentos</t>
  </si>
  <si>
    <t>Fluxo de Caixa de Financiamentos</t>
  </si>
  <si>
    <t>(+) Aporte de Capital</t>
  </si>
  <si>
    <t xml:space="preserve">(-) Pagamento de Dividendos </t>
  </si>
  <si>
    <t>(-) Estoque</t>
  </si>
  <si>
    <t>Fluxo de Caixa Direto</t>
  </si>
  <si>
    <t>(-) Contas a Receber</t>
  </si>
  <si>
    <t>(+) Contas a Pagar</t>
  </si>
  <si>
    <t>Caixa Mínimo</t>
  </si>
  <si>
    <t>Aporte de Capital</t>
  </si>
  <si>
    <t>(+/-) Variação (ex aporte/dividendos)</t>
  </si>
  <si>
    <t>Saldo inicial Capital Social</t>
  </si>
  <si>
    <t>Saldo final Capital Social</t>
  </si>
  <si>
    <t>Capital Solcial</t>
  </si>
  <si>
    <t>Pagamento Dividendos</t>
  </si>
  <si>
    <t>Ke</t>
  </si>
  <si>
    <t>Carência principal</t>
  </si>
  <si>
    <t>Carência juros</t>
  </si>
  <si>
    <t>Juros Incorridos na carência</t>
  </si>
  <si>
    <t>(-) Compensação Prejuízo acumulado</t>
  </si>
  <si>
    <t>Resultado do Exercício</t>
  </si>
  <si>
    <t>Ativo Fiscal Diferido</t>
  </si>
  <si>
    <t>(+) Adição</t>
  </si>
  <si>
    <t>(-) Consumo</t>
  </si>
  <si>
    <t>Nova Base tributos sobre Lucro</t>
  </si>
  <si>
    <t>Compensação Prejuízo acumulado</t>
  </si>
  <si>
    <t>Imposto Diferido</t>
  </si>
  <si>
    <t>(+) Imposto Diferido</t>
  </si>
  <si>
    <t>(+) Resultado do Exercício</t>
  </si>
  <si>
    <t>Premissário</t>
  </si>
  <si>
    <t>Volumes</t>
  </si>
  <si>
    <t>Receita</t>
  </si>
  <si>
    <t>Custos</t>
  </si>
  <si>
    <t>% CAPEX Financiado</t>
  </si>
  <si>
    <t>DRE</t>
  </si>
  <si>
    <t>Fluxo de Caixa</t>
  </si>
  <si>
    <t>Investimentos</t>
  </si>
  <si>
    <t>(-) Fluxo Caixa Dívida</t>
  </si>
  <si>
    <t>(-) Juros Incorridos não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</si>
</sst>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.0000_-;\-* #,##0.0000_-;_-* &quot;-&quot;??_-;_-@_-"/>
    <numFmt numFmtId="166" formatCode="_-* #,##0_-;\-* #,##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rgb="FF0F132A"/>
      <name val="Open Sans"/>
      <family val="2"/>
    </font>
    <font>
      <b/>
      <sz val="11"/>
      <color rgb="FF0000FF"/>
      <name val="Aptos Narrow"/>
      <family val="2"/>
      <scheme val="minor"/>
    </font>
    <font>
      <i/>
      <sz val="11"/>
      <color rgb="FF00B05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0" fontId="4" fillId="3" borderId="0" xfId="0" applyFont="1" applyFill="1"/>
    <xf numFmtId="9" fontId="0" fillId="0" borderId="0" xfId="0" applyNumberFormat="1"/>
    <xf numFmtId="9" fontId="0" fillId="0" borderId="0" xfId="2" applyFont="1"/>
    <xf numFmtId="165" fontId="0" fillId="0" borderId="0" xfId="1" applyNumberFormat="1" applyFon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6" fillId="0" borderId="0" xfId="0" applyFont="1" applyAlignment="1">
      <alignment horizontal="left" indent="3"/>
    </xf>
    <xf numFmtId="166" fontId="8" fillId="0" borderId="0" xfId="1" applyNumberFormat="1" applyFont="1" applyAlignment="1">
      <alignment horizontal="left" indent="1"/>
    </xf>
    <xf numFmtId="166" fontId="0" fillId="0" borderId="0" xfId="0" applyNumberFormat="1"/>
    <xf numFmtId="43" fontId="0" fillId="4" borderId="0" xfId="1" applyFont="1" applyFill="1"/>
    <xf numFmtId="10" fontId="7" fillId="4" borderId="0" xfId="0" applyNumberFormat="1" applyFont="1" applyFill="1"/>
    <xf numFmtId="166" fontId="0" fillId="0" borderId="0" xfId="1" applyNumberFormat="1" applyFont="1"/>
    <xf numFmtId="166" fontId="4" fillId="3" borderId="0" xfId="0" applyNumberFormat="1" applyFont="1" applyFill="1"/>
    <xf numFmtId="10" fontId="0" fillId="0" borderId="0" xfId="0" applyNumberFormat="1"/>
    <xf numFmtId="166" fontId="8" fillId="0" borderId="0" xfId="1" applyNumberFormat="1" applyFont="1"/>
    <xf numFmtId="166" fontId="0" fillId="4" borderId="0" xfId="1" applyNumberFormat="1" applyFont="1" applyFill="1"/>
    <xf numFmtId="0" fontId="0" fillId="4" borderId="0" xfId="0" applyFill="1"/>
    <xf numFmtId="166" fontId="9" fillId="0" borderId="0" xfId="1" applyNumberFormat="1" applyFont="1"/>
    <xf numFmtId="166" fontId="1" fillId="0" borderId="0" xfId="1" applyNumberFormat="1" applyFont="1"/>
    <xf numFmtId="10" fontId="10" fillId="0" borderId="0" xfId="2" applyNumberFormat="1" applyFont="1"/>
    <xf numFmtId="9" fontId="8" fillId="0" borderId="0" xfId="0" applyNumberFormat="1" applyFont="1"/>
    <xf numFmtId="166" fontId="4" fillId="3" borderId="0" xfId="1" applyNumberFormat="1" applyFont="1" applyFill="1"/>
    <xf numFmtId="0" fontId="0" fillId="0" borderId="1" xfId="0" applyBorder="1"/>
    <xf numFmtId="0" fontId="8" fillId="0" borderId="0" xfId="0" applyFont="1"/>
    <xf numFmtId="166" fontId="8" fillId="4" borderId="1" xfId="1" applyNumberFormat="1" applyFont="1" applyFill="1" applyBorder="1"/>
    <xf numFmtId="166" fontId="0" fillId="0" borderId="1" xfId="1" applyNumberFormat="1" applyFont="1" applyBorder="1"/>
    <xf numFmtId="0" fontId="3" fillId="0" borderId="0" xfId="0" applyFont="1"/>
    <xf numFmtId="0" fontId="2" fillId="0" borderId="0" xfId="0" applyFont="1"/>
    <xf numFmtId="166" fontId="2" fillId="0" borderId="0" xfId="1" applyNumberFormat="1" applyFont="1"/>
    <xf numFmtId="0" fontId="6" fillId="0" borderId="0" xfId="0" applyFont="1" applyAlignment="1">
      <alignment horizontal="left" indent="2"/>
    </xf>
    <xf numFmtId="0" fontId="3" fillId="0" borderId="2" xfId="0" applyFont="1" applyBorder="1"/>
    <xf numFmtId="10" fontId="3" fillId="0" borderId="2" xfId="0" applyNumberFormat="1" applyFont="1" applyBorder="1"/>
    <xf numFmtId="43" fontId="0" fillId="0" borderId="0" xfId="1" applyFont="1"/>
    <xf numFmtId="9" fontId="10" fillId="0" borderId="0" xfId="0" applyNumberFormat="1" applyFont="1"/>
    <xf numFmtId="0" fontId="3" fillId="0" borderId="3" xfId="0" applyFont="1" applyBorder="1" applyAlignment="1">
      <alignment horizontal="left"/>
    </xf>
    <xf numFmtId="10" fontId="3" fillId="0" borderId="3" xfId="2" applyNumberFormat="1" applyFont="1" applyBorder="1"/>
    <xf numFmtId="164" fontId="10" fillId="0" borderId="0" xfId="0" applyNumberFormat="1" applyFont="1"/>
    <xf numFmtId="0" fontId="12" fillId="0" borderId="0" xfId="0" applyFont="1"/>
    <xf numFmtId="43" fontId="0" fillId="0" borderId="0" xfId="0" applyNumberFormat="1"/>
    <xf numFmtId="164" fontId="3" fillId="0" borderId="0" xfId="0" applyNumberFormat="1" applyFont="1"/>
    <xf numFmtId="166" fontId="3" fillId="0" borderId="0" xfId="0" applyNumberFormat="1" applyFont="1"/>
    <xf numFmtId="0" fontId="3" fillId="0" borderId="1" xfId="0" applyFont="1" applyBorder="1"/>
    <xf numFmtId="166" fontId="3" fillId="0" borderId="1" xfId="0" applyNumberFormat="1" applyFont="1" applyBorder="1"/>
    <xf numFmtId="0" fontId="11" fillId="3" borderId="0" xfId="0" applyFont="1" applyFill="1"/>
    <xf numFmtId="166" fontId="11" fillId="3" borderId="0" xfId="0" applyNumberFormat="1" applyFont="1" applyFill="1"/>
    <xf numFmtId="3" fontId="8" fillId="0" borderId="0" xfId="0" applyNumberFormat="1" applyFont="1"/>
    <xf numFmtId="9" fontId="13" fillId="0" borderId="0" xfId="0" applyNumberFormat="1" applyFont="1"/>
    <xf numFmtId="166" fontId="3" fillId="0" borderId="0" xfId="1" applyNumberFormat="1" applyFont="1"/>
    <xf numFmtId="0" fontId="0" fillId="0" borderId="0" xfId="0" applyBorder="1"/>
    <xf numFmtId="166" fontId="0" fillId="0" borderId="0" xfId="1" applyNumberFormat="1" applyFont="1" applyBorder="1"/>
    <xf numFmtId="164" fontId="8" fillId="0" borderId="0" xfId="0" applyNumberFormat="1" applyFont="1"/>
    <xf numFmtId="9" fontId="10" fillId="0" borderId="0" xfId="2" applyFont="1"/>
    <xf numFmtId="166" fontId="10" fillId="0" borderId="0" xfId="1" applyNumberFormat="1" applyFont="1" applyAlignment="1">
      <alignment horizontal="left" indent="1"/>
    </xf>
    <xf numFmtId="166" fontId="10" fillId="0" borderId="0" xfId="1" applyNumberFormat="1" applyFont="1"/>
    <xf numFmtId="0" fontId="10" fillId="0" borderId="0" xfId="0" applyFont="1" applyAlignment="1">
      <alignment horizontal="left" indent="1"/>
    </xf>
    <xf numFmtId="10" fontId="14" fillId="0" borderId="0" xfId="0" applyNumberFormat="1" applyFont="1"/>
    <xf numFmtId="3" fontId="10" fillId="0" borderId="0" xfId="0" applyNumberFormat="1" applyFont="1" applyFill="1"/>
    <xf numFmtId="10" fontId="8" fillId="0" borderId="0" xfId="0" applyNumberFormat="1" applyFont="1"/>
    <xf numFmtId="43" fontId="8" fillId="0" borderId="0" xfId="1" applyFont="1" applyFill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0" fontId="10" fillId="0" borderId="0" xfId="0" applyNumberFormat="1" applyFont="1"/>
    <xf numFmtId="0" fontId="10" fillId="0" borderId="0" xfId="0" applyFont="1"/>
    <xf numFmtId="0" fontId="3" fillId="4" borderId="0" xfId="0" applyFont="1" applyFill="1"/>
    <xf numFmtId="164" fontId="13" fillId="4" borderId="0" xfId="0" applyNumberFormat="1" applyFont="1" applyFill="1"/>
    <xf numFmtId="166" fontId="3" fillId="0" borderId="1" xfId="1" applyNumberFormat="1" applyFont="1" applyBorder="1"/>
    <xf numFmtId="0" fontId="0" fillId="0" borderId="0" xfId="0" applyFill="1"/>
    <xf numFmtId="166" fontId="0" fillId="0" borderId="0" xfId="1" applyNumberFormat="1" applyFont="1" applyFill="1"/>
    <xf numFmtId="0" fontId="0" fillId="0" borderId="0" xfId="0" applyFill="1" applyAlignment="1">
      <alignment horizontal="left" indent="1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590D-C354-472C-9BD0-D5ACDBAC12F8}">
  <dimension ref="B3:Z96"/>
  <sheetViews>
    <sheetView showGridLines="0" zoomScale="90" zoomScaleNormal="90" workbookViewId="0">
      <pane xSplit="4" ySplit="5" topLeftCell="E45" activePane="bottomRight" state="frozen"/>
      <selection pane="topRight" activeCell="E1" sqref="E1"/>
      <selection pane="bottomLeft" activeCell="A6" sqref="A6"/>
      <selection pane="bottomRight" activeCell="C71" sqref="C71"/>
    </sheetView>
  </sheetViews>
  <sheetFormatPr defaultRowHeight="15" x14ac:dyDescent="0.25"/>
  <cols>
    <col min="2" max="2" width="35.28515625" bestFit="1" customWidth="1"/>
    <col min="3" max="3" width="12.42578125" customWidth="1"/>
    <col min="4" max="4" width="12.7109375" bestFit="1" customWidth="1"/>
    <col min="6" max="6" width="12.140625" bestFit="1" customWidth="1"/>
  </cols>
  <sheetData>
    <row r="3" spans="2:26" x14ac:dyDescent="0.25">
      <c r="B3" t="s">
        <v>146</v>
      </c>
      <c r="F3" s="1">
        <v>0</v>
      </c>
      <c r="G3" s="1">
        <f>F3+1</f>
        <v>1</v>
      </c>
      <c r="H3" s="1">
        <f t="shared" ref="H3:Z3" si="0">G3+1</f>
        <v>2</v>
      </c>
      <c r="I3" s="1">
        <f t="shared" si="0"/>
        <v>3</v>
      </c>
      <c r="J3" s="1">
        <f t="shared" si="0"/>
        <v>4</v>
      </c>
      <c r="K3" s="1">
        <f t="shared" si="0"/>
        <v>5</v>
      </c>
      <c r="L3" s="1">
        <f t="shared" si="0"/>
        <v>6</v>
      </c>
      <c r="M3" s="1">
        <f t="shared" si="0"/>
        <v>7</v>
      </c>
      <c r="N3" s="1">
        <f t="shared" si="0"/>
        <v>8</v>
      </c>
      <c r="O3" s="1">
        <f t="shared" si="0"/>
        <v>9</v>
      </c>
      <c r="P3" s="1">
        <f t="shared" si="0"/>
        <v>10</v>
      </c>
      <c r="Q3" s="1">
        <f t="shared" si="0"/>
        <v>11</v>
      </c>
      <c r="R3" s="1">
        <f t="shared" si="0"/>
        <v>12</v>
      </c>
      <c r="S3" s="1">
        <f t="shared" si="0"/>
        <v>13</v>
      </c>
      <c r="T3" s="1">
        <f t="shared" si="0"/>
        <v>14</v>
      </c>
      <c r="U3" s="1">
        <f t="shared" si="0"/>
        <v>15</v>
      </c>
      <c r="V3" s="1">
        <f t="shared" si="0"/>
        <v>16</v>
      </c>
      <c r="W3" s="1">
        <f t="shared" si="0"/>
        <v>17</v>
      </c>
      <c r="X3" s="1">
        <f t="shared" si="0"/>
        <v>18</v>
      </c>
      <c r="Y3" s="1">
        <f t="shared" si="0"/>
        <v>19</v>
      </c>
      <c r="Z3" s="1">
        <f t="shared" si="0"/>
        <v>20</v>
      </c>
    </row>
    <row r="4" spans="2:26" x14ac:dyDescent="0.25">
      <c r="B4" t="s">
        <v>69</v>
      </c>
      <c r="C4" s="26">
        <v>365</v>
      </c>
    </row>
    <row r="5" spans="2:26" x14ac:dyDescent="0.25">
      <c r="B5" t="s">
        <v>14</v>
      </c>
      <c r="C5" s="53">
        <v>0.04</v>
      </c>
    </row>
    <row r="6" spans="2:26" x14ac:dyDescent="0.25">
      <c r="C6" s="53"/>
    </row>
    <row r="7" spans="2:26" x14ac:dyDescent="0.25">
      <c r="B7" s="66" t="s">
        <v>151</v>
      </c>
      <c r="C7" s="67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2:26" x14ac:dyDescent="0.25">
      <c r="C8" s="53"/>
    </row>
    <row r="9" spans="2:26" x14ac:dyDescent="0.25">
      <c r="B9" s="63" t="s">
        <v>113</v>
      </c>
      <c r="C9" s="53"/>
    </row>
    <row r="10" spans="2:26" x14ac:dyDescent="0.25">
      <c r="B10" s="2" t="s">
        <v>18</v>
      </c>
      <c r="C10" s="60">
        <v>1.6500000000000001E-2</v>
      </c>
    </row>
    <row r="11" spans="2:26" x14ac:dyDescent="0.25">
      <c r="B11" s="2" t="s">
        <v>19</v>
      </c>
      <c r="C11" s="60">
        <v>7.5999999999999998E-2</v>
      </c>
    </row>
    <row r="12" spans="2:26" x14ac:dyDescent="0.25">
      <c r="B12" s="2" t="s">
        <v>20</v>
      </c>
      <c r="C12" s="60">
        <v>0.05</v>
      </c>
    </row>
    <row r="13" spans="2:26" x14ac:dyDescent="0.25">
      <c r="B13" s="2" t="s">
        <v>21</v>
      </c>
      <c r="C13" s="60">
        <v>0</v>
      </c>
    </row>
    <row r="14" spans="2:26" x14ac:dyDescent="0.25">
      <c r="B14" s="2" t="s">
        <v>43</v>
      </c>
      <c r="C14" s="23">
        <v>0.34</v>
      </c>
    </row>
    <row r="15" spans="2:26" x14ac:dyDescent="0.25">
      <c r="B15" s="2" t="s">
        <v>142</v>
      </c>
      <c r="C15" s="23">
        <v>0.3</v>
      </c>
    </row>
    <row r="17" spans="2:26" x14ac:dyDescent="0.25">
      <c r="B17" s="63" t="s">
        <v>147</v>
      </c>
    </row>
    <row r="18" spans="2:26" x14ac:dyDescent="0.25">
      <c r="B18" s="2" t="s">
        <v>1</v>
      </c>
      <c r="C18" s="10">
        <v>100000</v>
      </c>
    </row>
    <row r="19" spans="2:26" x14ac:dyDescent="0.25">
      <c r="B19" s="9" t="s">
        <v>15</v>
      </c>
      <c r="C19" s="2"/>
      <c r="F19" s="53">
        <v>0.05</v>
      </c>
      <c r="G19" s="53">
        <v>0.05</v>
      </c>
      <c r="H19" s="53">
        <v>0.05</v>
      </c>
      <c r="I19" s="53">
        <v>0.05</v>
      </c>
      <c r="J19" s="53">
        <v>0.05</v>
      </c>
      <c r="K19" s="53">
        <v>0.05</v>
      </c>
      <c r="L19" s="53">
        <v>0.05</v>
      </c>
      <c r="M19" s="53">
        <v>0.05</v>
      </c>
      <c r="N19" s="53">
        <v>0.05</v>
      </c>
      <c r="O19" s="53">
        <v>0.05</v>
      </c>
      <c r="P19" s="53">
        <v>0.05</v>
      </c>
      <c r="Q19" s="53">
        <v>0.05</v>
      </c>
      <c r="R19" s="53">
        <v>0.05</v>
      </c>
      <c r="S19" s="53">
        <v>0.05</v>
      </c>
      <c r="T19" s="53">
        <v>0.05</v>
      </c>
      <c r="U19" s="53">
        <v>0.05</v>
      </c>
      <c r="V19" s="53">
        <v>0.05</v>
      </c>
      <c r="W19" s="53">
        <v>0.05</v>
      </c>
      <c r="X19" s="53">
        <v>0.05</v>
      </c>
      <c r="Y19" s="53">
        <v>0.05</v>
      </c>
      <c r="Z19" s="53">
        <v>0.05</v>
      </c>
    </row>
    <row r="20" spans="2:26" x14ac:dyDescent="0.25">
      <c r="B20" s="2" t="s">
        <v>2</v>
      </c>
      <c r="C20" s="10">
        <v>80000</v>
      </c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2:26" x14ac:dyDescent="0.25">
      <c r="B21" s="9" t="s">
        <v>15</v>
      </c>
      <c r="C21" s="2"/>
      <c r="F21" s="53">
        <v>0.05</v>
      </c>
      <c r="G21" s="53">
        <v>0.05</v>
      </c>
      <c r="H21" s="53">
        <v>0.05</v>
      </c>
      <c r="I21" s="53">
        <v>0.05</v>
      </c>
      <c r="J21" s="53">
        <v>0.05</v>
      </c>
      <c r="K21" s="53">
        <v>0.05</v>
      </c>
      <c r="L21" s="53">
        <v>0.05</v>
      </c>
      <c r="M21" s="53">
        <v>0.05</v>
      </c>
      <c r="N21" s="53">
        <v>0.05</v>
      </c>
      <c r="O21" s="53">
        <v>0.05</v>
      </c>
      <c r="P21" s="53">
        <v>0.05</v>
      </c>
      <c r="Q21" s="53">
        <v>0.05</v>
      </c>
      <c r="R21" s="53">
        <v>0.05</v>
      </c>
      <c r="S21" s="53">
        <v>0.05</v>
      </c>
      <c r="T21" s="53">
        <v>0.05</v>
      </c>
      <c r="U21" s="53">
        <v>0.05</v>
      </c>
      <c r="V21" s="53">
        <v>0.05</v>
      </c>
      <c r="W21" s="53">
        <v>0.05</v>
      </c>
      <c r="X21" s="53">
        <v>0.05</v>
      </c>
      <c r="Y21" s="53">
        <v>0.05</v>
      </c>
      <c r="Z21" s="53">
        <v>0.05</v>
      </c>
    </row>
    <row r="22" spans="2:26" x14ac:dyDescent="0.25">
      <c r="B22" s="2" t="s">
        <v>3</v>
      </c>
      <c r="C22" s="10">
        <v>75000</v>
      </c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2:26" x14ac:dyDescent="0.25">
      <c r="B23" s="9" t="s">
        <v>15</v>
      </c>
      <c r="C23" s="2"/>
      <c r="F23" s="53">
        <v>0.05</v>
      </c>
      <c r="G23" s="53">
        <v>0.05</v>
      </c>
      <c r="H23" s="53">
        <v>0.05</v>
      </c>
      <c r="I23" s="53">
        <v>0.05</v>
      </c>
      <c r="J23" s="53">
        <v>0.05</v>
      </c>
      <c r="K23" s="53">
        <v>0.05</v>
      </c>
      <c r="L23" s="53">
        <v>0.05</v>
      </c>
      <c r="M23" s="53">
        <v>0.05</v>
      </c>
      <c r="N23" s="53">
        <v>0.05</v>
      </c>
      <c r="O23" s="53">
        <v>0.05</v>
      </c>
      <c r="P23" s="53">
        <v>0.05</v>
      </c>
      <c r="Q23" s="53">
        <v>0.05</v>
      </c>
      <c r="R23" s="53">
        <v>0.05</v>
      </c>
      <c r="S23" s="53">
        <v>0.05</v>
      </c>
      <c r="T23" s="53">
        <v>0.05</v>
      </c>
      <c r="U23" s="53">
        <v>0.05</v>
      </c>
      <c r="V23" s="53">
        <v>0.05</v>
      </c>
      <c r="W23" s="53">
        <v>0.05</v>
      </c>
      <c r="X23" s="53">
        <v>0.05</v>
      </c>
      <c r="Y23" s="53">
        <v>0.05</v>
      </c>
      <c r="Z23" s="53">
        <v>0.05</v>
      </c>
    </row>
    <row r="24" spans="2:26" x14ac:dyDescent="0.25">
      <c r="B24" s="2" t="s">
        <v>4</v>
      </c>
      <c r="C24" s="10">
        <v>25000</v>
      </c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2:26" x14ac:dyDescent="0.25">
      <c r="B25" s="9" t="s">
        <v>15</v>
      </c>
      <c r="C25" s="2"/>
      <c r="F25" s="53">
        <v>0.05</v>
      </c>
      <c r="G25" s="53">
        <v>0.05</v>
      </c>
      <c r="H25" s="53">
        <v>0.05</v>
      </c>
      <c r="I25" s="53">
        <v>0.05</v>
      </c>
      <c r="J25" s="53">
        <v>0.05</v>
      </c>
      <c r="K25" s="53">
        <v>0.05</v>
      </c>
      <c r="L25" s="53">
        <v>0.05</v>
      </c>
      <c r="M25" s="53">
        <v>0.05</v>
      </c>
      <c r="N25" s="53">
        <v>0.05</v>
      </c>
      <c r="O25" s="53">
        <v>0.05</v>
      </c>
      <c r="P25" s="53">
        <v>0.05</v>
      </c>
      <c r="Q25" s="53">
        <v>0.05</v>
      </c>
      <c r="R25" s="53">
        <v>0.05</v>
      </c>
      <c r="S25" s="53">
        <v>0.05</v>
      </c>
      <c r="T25" s="53">
        <v>0.05</v>
      </c>
      <c r="U25" s="53">
        <v>0.05</v>
      </c>
      <c r="V25" s="53">
        <v>0.05</v>
      </c>
      <c r="W25" s="53">
        <v>0.05</v>
      </c>
      <c r="X25" s="53">
        <v>0.05</v>
      </c>
      <c r="Y25" s="53">
        <v>0.05</v>
      </c>
      <c r="Z25" s="53">
        <v>0.05</v>
      </c>
    </row>
    <row r="27" spans="2:26" x14ac:dyDescent="0.25">
      <c r="B27" s="63" t="s">
        <v>148</v>
      </c>
    </row>
    <row r="28" spans="2:26" x14ac:dyDescent="0.25">
      <c r="B28" s="2" t="s">
        <v>6</v>
      </c>
      <c r="C28" s="10">
        <v>60</v>
      </c>
      <c r="D28" s="2"/>
    </row>
    <row r="29" spans="2:26" x14ac:dyDescent="0.25">
      <c r="B29" s="2" t="s">
        <v>7</v>
      </c>
      <c r="C29" s="10">
        <v>60</v>
      </c>
      <c r="D29" s="2"/>
    </row>
    <row r="30" spans="2:26" x14ac:dyDescent="0.25">
      <c r="B30" s="2" t="s">
        <v>8</v>
      </c>
      <c r="C30" s="10">
        <v>60</v>
      </c>
      <c r="D30" s="2"/>
    </row>
    <row r="31" spans="2:26" x14ac:dyDescent="0.25">
      <c r="B31" s="2" t="s">
        <v>9</v>
      </c>
      <c r="C31" s="10">
        <v>60</v>
      </c>
      <c r="D31" s="2"/>
    </row>
    <row r="33" spans="2:3" x14ac:dyDescent="0.25">
      <c r="B33" s="63" t="s">
        <v>149</v>
      </c>
    </row>
    <row r="34" spans="2:3" x14ac:dyDescent="0.25">
      <c r="B34" s="2" t="s">
        <v>25</v>
      </c>
    </row>
    <row r="35" spans="2:3" x14ac:dyDescent="0.25">
      <c r="B35" s="7" t="s">
        <v>29</v>
      </c>
      <c r="C35" s="17">
        <v>1200000</v>
      </c>
    </row>
    <row r="36" spans="2:3" x14ac:dyDescent="0.25">
      <c r="B36" s="7" t="s">
        <v>30</v>
      </c>
      <c r="C36" s="17">
        <v>10</v>
      </c>
    </row>
    <row r="37" spans="2:3" x14ac:dyDescent="0.25">
      <c r="B37" s="2" t="s">
        <v>26</v>
      </c>
      <c r="C37" s="17"/>
    </row>
    <row r="38" spans="2:3" x14ac:dyDescent="0.25">
      <c r="B38" s="7" t="s">
        <v>29</v>
      </c>
      <c r="C38" s="17">
        <v>850000</v>
      </c>
    </row>
    <row r="39" spans="2:3" x14ac:dyDescent="0.25">
      <c r="B39" s="7" t="s">
        <v>30</v>
      </c>
      <c r="C39" s="17">
        <v>10</v>
      </c>
    </row>
    <row r="40" spans="2:3" x14ac:dyDescent="0.25">
      <c r="B40" s="2" t="s">
        <v>27</v>
      </c>
      <c r="C40" s="17"/>
    </row>
    <row r="41" spans="2:3" x14ac:dyDescent="0.25">
      <c r="B41" s="7" t="s">
        <v>29</v>
      </c>
      <c r="C41" s="17">
        <v>700000</v>
      </c>
    </row>
    <row r="42" spans="2:3" x14ac:dyDescent="0.25">
      <c r="B42" s="7" t="s">
        <v>30</v>
      </c>
      <c r="C42" s="17">
        <v>10</v>
      </c>
    </row>
    <row r="43" spans="2:3" x14ac:dyDescent="0.25">
      <c r="B43" s="2" t="s">
        <v>28</v>
      </c>
      <c r="C43" s="17"/>
    </row>
    <row r="44" spans="2:3" x14ac:dyDescent="0.25">
      <c r="B44" s="7" t="s">
        <v>29</v>
      </c>
      <c r="C44" s="17">
        <v>500000</v>
      </c>
    </row>
    <row r="45" spans="2:3" x14ac:dyDescent="0.25">
      <c r="B45" s="7" t="s">
        <v>30</v>
      </c>
      <c r="C45" s="17">
        <v>10</v>
      </c>
    </row>
    <row r="47" spans="2:3" x14ac:dyDescent="0.25">
      <c r="B47" s="29" t="s">
        <v>32</v>
      </c>
    </row>
    <row r="48" spans="2:3" x14ac:dyDescent="0.25">
      <c r="B48" s="2" t="s">
        <v>33</v>
      </c>
      <c r="C48" s="17">
        <v>3500000</v>
      </c>
    </row>
    <row r="49" spans="2:26" x14ac:dyDescent="0.25">
      <c r="B49" s="2" t="s">
        <v>34</v>
      </c>
      <c r="C49" s="17">
        <v>2500000</v>
      </c>
    </row>
    <row r="50" spans="2:26" x14ac:dyDescent="0.25">
      <c r="B50" s="2" t="s">
        <v>35</v>
      </c>
      <c r="C50" s="17">
        <v>1000000</v>
      </c>
    </row>
    <row r="52" spans="2:26" x14ac:dyDescent="0.25">
      <c r="B52" s="66" t="s">
        <v>152</v>
      </c>
      <c r="C52" s="67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4" spans="2:26" x14ac:dyDescent="0.25">
      <c r="B54" s="2" t="s">
        <v>125</v>
      </c>
      <c r="C54" s="17">
        <v>1000000</v>
      </c>
    </row>
    <row r="56" spans="2:26" x14ac:dyDescent="0.25">
      <c r="B56" s="66" t="s">
        <v>153</v>
      </c>
      <c r="C56" s="67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8" spans="2:26" x14ac:dyDescent="0.25">
      <c r="B58" s="2" t="s">
        <v>45</v>
      </c>
      <c r="F58" s="17">
        <v>20000000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</row>
    <row r="59" spans="2:26" x14ac:dyDescent="0.25">
      <c r="B59" s="2" t="s">
        <v>51</v>
      </c>
      <c r="C59" s="23">
        <v>0.05</v>
      </c>
      <c r="D59" t="s">
        <v>56</v>
      </c>
    </row>
    <row r="60" spans="2:26" x14ac:dyDescent="0.25">
      <c r="B60" s="2" t="s">
        <v>53</v>
      </c>
      <c r="C60" s="26">
        <v>10</v>
      </c>
      <c r="D60" t="s">
        <v>54</v>
      </c>
    </row>
    <row r="62" spans="2:26" x14ac:dyDescent="0.25">
      <c r="B62" s="66" t="s">
        <v>59</v>
      </c>
      <c r="C62" s="67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2:26" x14ac:dyDescent="0.25">
      <c r="B63" s="29"/>
      <c r="C63" s="17"/>
    </row>
    <row r="64" spans="2:26" x14ac:dyDescent="0.25">
      <c r="B64" s="2" t="s">
        <v>150</v>
      </c>
      <c r="C64" s="23">
        <v>0.7</v>
      </c>
    </row>
    <row r="65" spans="2:26" x14ac:dyDescent="0.25">
      <c r="B65" s="2" t="s">
        <v>60</v>
      </c>
      <c r="C65" s="17">
        <v>7</v>
      </c>
    </row>
    <row r="66" spans="2:26" x14ac:dyDescent="0.25">
      <c r="B66" s="2" t="s">
        <v>133</v>
      </c>
      <c r="C66" s="17">
        <v>2</v>
      </c>
    </row>
    <row r="67" spans="2:26" x14ac:dyDescent="0.25">
      <c r="B67" s="2" t="s">
        <v>61</v>
      </c>
      <c r="C67" s="21">
        <f>C65-C66</f>
        <v>5</v>
      </c>
    </row>
    <row r="68" spans="2:26" x14ac:dyDescent="0.25">
      <c r="B68" s="2" t="s">
        <v>134</v>
      </c>
      <c r="C68" s="17">
        <v>2</v>
      </c>
    </row>
    <row r="69" spans="2:26" x14ac:dyDescent="0.25">
      <c r="B69" s="2" t="s">
        <v>62</v>
      </c>
      <c r="C69" s="16">
        <f>((1+C70)*(1+C71))-1</f>
        <v>0.10240000000000005</v>
      </c>
    </row>
    <row r="70" spans="2:26" x14ac:dyDescent="0.25">
      <c r="B70" s="7" t="s">
        <v>64</v>
      </c>
      <c r="C70" s="60">
        <f>C5</f>
        <v>0.04</v>
      </c>
    </row>
    <row r="71" spans="2:26" x14ac:dyDescent="0.25">
      <c r="B71" s="7" t="s">
        <v>63</v>
      </c>
      <c r="C71" s="60">
        <v>0.06</v>
      </c>
    </row>
    <row r="73" spans="2:26" x14ac:dyDescent="0.25">
      <c r="B73" s="66" t="s">
        <v>94</v>
      </c>
      <c r="C73" s="67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5" spans="2:26" x14ac:dyDescent="0.25">
      <c r="B75" s="33" t="s">
        <v>97</v>
      </c>
      <c r="C75" s="34">
        <f>C76+(C79*(C77))+C80</f>
        <v>0.11296262799999998</v>
      </c>
    </row>
    <row r="76" spans="2:26" x14ac:dyDescent="0.25">
      <c r="B76" s="7" t="s">
        <v>112</v>
      </c>
      <c r="C76" s="60">
        <v>3.5999999999999997E-2</v>
      </c>
    </row>
    <row r="77" spans="2:26" x14ac:dyDescent="0.25">
      <c r="B77" s="7" t="s">
        <v>111</v>
      </c>
      <c r="C77" s="60">
        <v>0.06</v>
      </c>
    </row>
    <row r="78" spans="2:26" x14ac:dyDescent="0.25">
      <c r="B78" s="7" t="s">
        <v>98</v>
      </c>
      <c r="C78" s="61">
        <v>0.71</v>
      </c>
    </row>
    <row r="79" spans="2:26" x14ac:dyDescent="0.25">
      <c r="B79" s="7" t="s">
        <v>99</v>
      </c>
      <c r="C79" s="35">
        <f>C78*(1+(1-C89)*C93)</f>
        <v>0.86604379999999981</v>
      </c>
    </row>
    <row r="80" spans="2:26" x14ac:dyDescent="0.25">
      <c r="B80" s="7" t="s">
        <v>110</v>
      </c>
      <c r="C80" s="60">
        <v>2.5000000000000001E-2</v>
      </c>
    </row>
    <row r="81" spans="2:3" x14ac:dyDescent="0.25">
      <c r="B81" s="7"/>
      <c r="C81" s="16"/>
    </row>
    <row r="82" spans="2:3" x14ac:dyDescent="0.25">
      <c r="B82" s="7" t="s">
        <v>100</v>
      </c>
      <c r="C82" s="60">
        <v>0.02</v>
      </c>
    </row>
    <row r="83" spans="2:3" x14ac:dyDescent="0.25">
      <c r="B83" s="7" t="s">
        <v>101</v>
      </c>
      <c r="C83" s="60">
        <v>3.5000000000000003E-2</v>
      </c>
    </row>
    <row r="84" spans="2:3" x14ac:dyDescent="0.25">
      <c r="B84" s="34" t="s">
        <v>102</v>
      </c>
      <c r="C84" s="34">
        <f>((1+C83)/(1+C82))-1</f>
        <v>1.4705882352941124E-2</v>
      </c>
    </row>
    <row r="85" spans="2:3" x14ac:dyDescent="0.25">
      <c r="B85" s="34" t="s">
        <v>103</v>
      </c>
      <c r="C85" s="34">
        <f>(1+C75)*(1+C84)-1</f>
        <v>0.1293297254705883</v>
      </c>
    </row>
    <row r="86" spans="2:3" x14ac:dyDescent="0.25">
      <c r="B86" s="7"/>
      <c r="C86" s="16"/>
    </row>
    <row r="87" spans="2:3" x14ac:dyDescent="0.25">
      <c r="B87" s="7"/>
    </row>
    <row r="88" spans="2:3" x14ac:dyDescent="0.25">
      <c r="B88" s="7" t="s">
        <v>104</v>
      </c>
      <c r="C88" s="39">
        <f>C69</f>
        <v>0.10240000000000005</v>
      </c>
    </row>
    <row r="89" spans="2:3" x14ac:dyDescent="0.25">
      <c r="B89" s="7" t="s">
        <v>105</v>
      </c>
      <c r="C89" s="36">
        <f>Premissas!C14</f>
        <v>0.34</v>
      </c>
    </row>
    <row r="90" spans="2:3" x14ac:dyDescent="0.25">
      <c r="B90" s="37" t="s">
        <v>106</v>
      </c>
      <c r="C90" s="38">
        <f>C88*(1-C89)</f>
        <v>6.7584000000000019E-2</v>
      </c>
    </row>
    <row r="93" spans="2:3" x14ac:dyDescent="0.25">
      <c r="B93" t="s">
        <v>107</v>
      </c>
      <c r="C93" s="4">
        <f>1-C94</f>
        <v>0.33299999999999996</v>
      </c>
    </row>
    <row r="94" spans="2:3" x14ac:dyDescent="0.25">
      <c r="B94" t="s">
        <v>108</v>
      </c>
      <c r="C94" s="4">
        <v>0.66700000000000004</v>
      </c>
    </row>
    <row r="96" spans="2:3" x14ac:dyDescent="0.25">
      <c r="B96" s="29" t="s">
        <v>109</v>
      </c>
      <c r="C96" s="42">
        <f>(C85*C94)+(C90*C93)</f>
        <v>0.1087683988888824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EA15-111A-4F8F-A66A-DC7D13FEAFD3}">
  <dimension ref="B3:Z103"/>
  <sheetViews>
    <sheetView showGridLines="0" zoomScale="80" zoomScaleNormal="80" workbookViewId="0">
      <pane xSplit="4" ySplit="6" topLeftCell="F53" activePane="bottomRight" state="frozen"/>
      <selection pane="topRight" activeCell="E1" sqref="E1"/>
      <selection pane="bottomLeft" activeCell="A6" sqref="A6"/>
      <selection pane="bottomRight" activeCell="H70" sqref="H70"/>
    </sheetView>
  </sheetViews>
  <sheetFormatPr defaultRowHeight="15" x14ac:dyDescent="0.25"/>
  <cols>
    <col min="2" max="2" width="35.28515625" bestFit="1" customWidth="1"/>
    <col min="3" max="3" width="12.140625" bestFit="1" customWidth="1"/>
    <col min="4" max="4" width="25.42578125" customWidth="1"/>
    <col min="6" max="26" width="13.5703125" customWidth="1"/>
  </cols>
  <sheetData>
    <row r="3" spans="2:26" x14ac:dyDescent="0.25">
      <c r="F3" s="1">
        <v>0</v>
      </c>
      <c r="G3" s="1">
        <f>F3+1</f>
        <v>1</v>
      </c>
      <c r="H3" s="1">
        <f t="shared" ref="H3:Z3" si="0">G3+1</f>
        <v>2</v>
      </c>
      <c r="I3" s="1">
        <f t="shared" si="0"/>
        <v>3</v>
      </c>
      <c r="J3" s="1">
        <f t="shared" si="0"/>
        <v>4</v>
      </c>
      <c r="K3" s="1">
        <f t="shared" si="0"/>
        <v>5</v>
      </c>
      <c r="L3" s="1">
        <f t="shared" si="0"/>
        <v>6</v>
      </c>
      <c r="M3" s="1">
        <f t="shared" si="0"/>
        <v>7</v>
      </c>
      <c r="N3" s="1">
        <f t="shared" si="0"/>
        <v>8</v>
      </c>
      <c r="O3" s="1">
        <f t="shared" si="0"/>
        <v>9</v>
      </c>
      <c r="P3" s="1">
        <f t="shared" si="0"/>
        <v>10</v>
      </c>
      <c r="Q3" s="1">
        <f t="shared" si="0"/>
        <v>11</v>
      </c>
      <c r="R3" s="1">
        <f t="shared" si="0"/>
        <v>12</v>
      </c>
      <c r="S3" s="1">
        <f t="shared" si="0"/>
        <v>13</v>
      </c>
      <c r="T3" s="1">
        <f t="shared" si="0"/>
        <v>14</v>
      </c>
      <c r="U3" s="1">
        <f t="shared" si="0"/>
        <v>15</v>
      </c>
      <c r="V3" s="1">
        <f t="shared" si="0"/>
        <v>16</v>
      </c>
      <c r="W3" s="1">
        <f t="shared" si="0"/>
        <v>17</v>
      </c>
      <c r="X3" s="1">
        <f t="shared" si="0"/>
        <v>18</v>
      </c>
      <c r="Y3" s="1">
        <f t="shared" si="0"/>
        <v>19</v>
      </c>
      <c r="Z3" s="1">
        <f t="shared" si="0"/>
        <v>20</v>
      </c>
    </row>
    <row r="5" spans="2:26" x14ac:dyDescent="0.25">
      <c r="B5" t="s">
        <v>69</v>
      </c>
      <c r="C5" s="65">
        <f>Premissas!C4</f>
        <v>365</v>
      </c>
      <c r="F5" s="14">
        <f>$C$5</f>
        <v>365</v>
      </c>
      <c r="G5" s="14">
        <f t="shared" ref="G5:Z5" si="1">$C$5</f>
        <v>365</v>
      </c>
      <c r="H5" s="14">
        <f t="shared" si="1"/>
        <v>365</v>
      </c>
      <c r="I5" s="14">
        <f t="shared" si="1"/>
        <v>365</v>
      </c>
      <c r="J5" s="14">
        <f t="shared" si="1"/>
        <v>365</v>
      </c>
      <c r="K5" s="14">
        <f t="shared" si="1"/>
        <v>365</v>
      </c>
      <c r="L5" s="14">
        <f t="shared" si="1"/>
        <v>365</v>
      </c>
      <c r="M5" s="14">
        <f t="shared" si="1"/>
        <v>365</v>
      </c>
      <c r="N5" s="14">
        <f t="shared" si="1"/>
        <v>365</v>
      </c>
      <c r="O5" s="14">
        <f t="shared" si="1"/>
        <v>365</v>
      </c>
      <c r="P5" s="14">
        <f t="shared" si="1"/>
        <v>365</v>
      </c>
      <c r="Q5" s="14">
        <f t="shared" si="1"/>
        <v>365</v>
      </c>
      <c r="R5" s="14">
        <f t="shared" si="1"/>
        <v>365</v>
      </c>
      <c r="S5" s="14">
        <f t="shared" si="1"/>
        <v>365</v>
      </c>
      <c r="T5" s="14">
        <f t="shared" si="1"/>
        <v>365</v>
      </c>
      <c r="U5" s="14">
        <f t="shared" si="1"/>
        <v>365</v>
      </c>
      <c r="V5" s="14">
        <f t="shared" si="1"/>
        <v>365</v>
      </c>
      <c r="W5" s="14">
        <f t="shared" si="1"/>
        <v>365</v>
      </c>
      <c r="X5" s="14">
        <f t="shared" si="1"/>
        <v>365</v>
      </c>
      <c r="Y5" s="14">
        <f t="shared" si="1"/>
        <v>365</v>
      </c>
      <c r="Z5" s="14">
        <f t="shared" si="1"/>
        <v>365</v>
      </c>
    </row>
    <row r="6" spans="2:26" x14ac:dyDescent="0.25">
      <c r="B6" t="s">
        <v>14</v>
      </c>
      <c r="C6" s="22">
        <f>Premissas!C5</f>
        <v>0.04</v>
      </c>
      <c r="F6" s="6">
        <f>(1+$C$6)^F3</f>
        <v>1</v>
      </c>
      <c r="G6" s="6">
        <f>(1+$C$6)^G3</f>
        <v>1.04</v>
      </c>
      <c r="H6" s="6">
        <f>(1+$C$6)^H3</f>
        <v>1.0816000000000001</v>
      </c>
      <c r="I6" s="6">
        <f t="shared" ref="I6:Z6" si="2">(1+$C$6)^I3</f>
        <v>1.1248640000000001</v>
      </c>
      <c r="J6" s="6">
        <f t="shared" si="2"/>
        <v>1.1698585600000002</v>
      </c>
      <c r="K6" s="6">
        <f t="shared" si="2"/>
        <v>1.2166529024000003</v>
      </c>
      <c r="L6" s="6">
        <f t="shared" si="2"/>
        <v>1.2653190184960004</v>
      </c>
      <c r="M6" s="6">
        <f t="shared" si="2"/>
        <v>1.3159317792358403</v>
      </c>
      <c r="N6" s="6">
        <f t="shared" si="2"/>
        <v>1.3685690504052741</v>
      </c>
      <c r="O6" s="6">
        <f t="shared" si="2"/>
        <v>1.4233118124214852</v>
      </c>
      <c r="P6" s="6">
        <f t="shared" si="2"/>
        <v>1.4802442849183446</v>
      </c>
      <c r="Q6" s="6">
        <f t="shared" si="2"/>
        <v>1.5394540563150783</v>
      </c>
      <c r="R6" s="6">
        <f t="shared" si="2"/>
        <v>1.6010322185676817</v>
      </c>
      <c r="S6" s="6">
        <f t="shared" si="2"/>
        <v>1.6650735073103891</v>
      </c>
      <c r="T6" s="6">
        <f t="shared" si="2"/>
        <v>1.7316764476028046</v>
      </c>
      <c r="U6" s="6">
        <f t="shared" si="2"/>
        <v>1.8009435055069167</v>
      </c>
      <c r="V6" s="6">
        <f t="shared" si="2"/>
        <v>1.8729812457271937</v>
      </c>
      <c r="W6" s="6">
        <f t="shared" si="2"/>
        <v>1.9479004955562815</v>
      </c>
      <c r="X6" s="6">
        <f t="shared" si="2"/>
        <v>2.025816515378533</v>
      </c>
      <c r="Y6" s="6">
        <f t="shared" si="2"/>
        <v>2.1068491759936743</v>
      </c>
      <c r="Z6" s="6">
        <f t="shared" si="2"/>
        <v>2.1911231430334213</v>
      </c>
    </row>
    <row r="9" spans="2:26" x14ac:dyDescent="0.25">
      <c r="B9" s="3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1" spans="2:26" x14ac:dyDescent="0.25">
      <c r="B11" s="2" t="s">
        <v>1</v>
      </c>
      <c r="C11" s="55">
        <f>Premissas!C18</f>
        <v>100000</v>
      </c>
      <c r="D11" s="2"/>
      <c r="F11" s="12"/>
      <c r="G11" s="14">
        <f>C11</f>
        <v>100000</v>
      </c>
      <c r="H11" s="11">
        <f>G11*(1+H12)</f>
        <v>105000</v>
      </c>
      <c r="I11" s="11">
        <f t="shared" ref="I11:Z11" si="3">H11*(1+I12)</f>
        <v>110250</v>
      </c>
      <c r="J11" s="11">
        <f t="shared" si="3"/>
        <v>115762.5</v>
      </c>
      <c r="K11" s="11">
        <f t="shared" si="3"/>
        <v>121550.625</v>
      </c>
      <c r="L11" s="11">
        <f t="shared" si="3"/>
        <v>127628.15625</v>
      </c>
      <c r="M11" s="11">
        <f t="shared" si="3"/>
        <v>134009.56406249999</v>
      </c>
      <c r="N11" s="11">
        <f t="shared" si="3"/>
        <v>140710.042265625</v>
      </c>
      <c r="O11" s="11">
        <f t="shared" si="3"/>
        <v>147745.54437890626</v>
      </c>
      <c r="P11" s="11">
        <f t="shared" si="3"/>
        <v>155132.82159785158</v>
      </c>
      <c r="Q11" s="11">
        <f t="shared" si="3"/>
        <v>162889.46267774416</v>
      </c>
      <c r="R11" s="11">
        <f t="shared" si="3"/>
        <v>171033.93581163138</v>
      </c>
      <c r="S11" s="11">
        <f t="shared" si="3"/>
        <v>179585.63260221295</v>
      </c>
      <c r="T11" s="11">
        <f t="shared" si="3"/>
        <v>188564.91423232362</v>
      </c>
      <c r="U11" s="11">
        <f t="shared" si="3"/>
        <v>197993.1599439398</v>
      </c>
      <c r="V11" s="11">
        <f t="shared" si="3"/>
        <v>207892.8179411368</v>
      </c>
      <c r="W11" s="11">
        <f t="shared" si="3"/>
        <v>218287.45883819365</v>
      </c>
      <c r="X11" s="11">
        <f t="shared" si="3"/>
        <v>229201.83178010333</v>
      </c>
      <c r="Y11" s="11">
        <f t="shared" si="3"/>
        <v>240661.9233691085</v>
      </c>
      <c r="Z11" s="11">
        <f t="shared" si="3"/>
        <v>252695.01953756393</v>
      </c>
    </row>
    <row r="12" spans="2:26" x14ac:dyDescent="0.25">
      <c r="B12" s="9" t="s">
        <v>15</v>
      </c>
      <c r="C12" s="57"/>
      <c r="D12" s="2"/>
      <c r="F12" s="13"/>
      <c r="G12" s="58">
        <f>Premissas!F19</f>
        <v>0.05</v>
      </c>
      <c r="H12" s="58">
        <f>Premissas!G19</f>
        <v>0.05</v>
      </c>
      <c r="I12" s="58">
        <f>Premissas!H19</f>
        <v>0.05</v>
      </c>
      <c r="J12" s="58">
        <f>Premissas!I19</f>
        <v>0.05</v>
      </c>
      <c r="K12" s="58">
        <f>Premissas!J19</f>
        <v>0.05</v>
      </c>
      <c r="L12" s="58">
        <f>Premissas!K19</f>
        <v>0.05</v>
      </c>
      <c r="M12" s="58">
        <f>Premissas!L19</f>
        <v>0.05</v>
      </c>
      <c r="N12" s="58">
        <f>Premissas!M19</f>
        <v>0.05</v>
      </c>
      <c r="O12" s="58">
        <f>Premissas!N19</f>
        <v>0.05</v>
      </c>
      <c r="P12" s="58">
        <f>Premissas!O19</f>
        <v>0.05</v>
      </c>
      <c r="Q12" s="58">
        <f>Premissas!P19</f>
        <v>0.05</v>
      </c>
      <c r="R12" s="58">
        <f>Premissas!Q19</f>
        <v>0.05</v>
      </c>
      <c r="S12" s="58">
        <f>Premissas!R19</f>
        <v>0.05</v>
      </c>
      <c r="T12" s="58">
        <f>Premissas!S19</f>
        <v>0.05</v>
      </c>
      <c r="U12" s="58">
        <f>Premissas!T19</f>
        <v>0.05</v>
      </c>
      <c r="V12" s="58">
        <f>Premissas!U19</f>
        <v>0.05</v>
      </c>
      <c r="W12" s="58">
        <f>Premissas!V19</f>
        <v>0.05</v>
      </c>
      <c r="X12" s="58">
        <f>Premissas!W19</f>
        <v>0.05</v>
      </c>
      <c r="Y12" s="58">
        <f>Premissas!X19</f>
        <v>0.05</v>
      </c>
      <c r="Z12" s="58">
        <f>Premissas!Y19</f>
        <v>0.05</v>
      </c>
    </row>
    <row r="13" spans="2:26" x14ac:dyDescent="0.25">
      <c r="B13" s="2" t="s">
        <v>2</v>
      </c>
      <c r="C13" s="55">
        <f>Premissas!C20</f>
        <v>80000</v>
      </c>
      <c r="D13" s="2"/>
      <c r="F13" s="12"/>
      <c r="G13" s="14">
        <f>C13</f>
        <v>80000</v>
      </c>
      <c r="H13" s="11">
        <f>G13*(1+H14)</f>
        <v>84000</v>
      </c>
      <c r="I13" s="11">
        <f t="shared" ref="I13" si="4">H13*(1+I14)</f>
        <v>88200</v>
      </c>
      <c r="J13" s="11">
        <f t="shared" ref="J13" si="5">I13*(1+J14)</f>
        <v>92610</v>
      </c>
      <c r="K13" s="11">
        <f t="shared" ref="K13" si="6">J13*(1+K14)</f>
        <v>97240.5</v>
      </c>
      <c r="L13" s="11">
        <f t="shared" ref="L13" si="7">K13*(1+L14)</f>
        <v>102102.52500000001</v>
      </c>
      <c r="M13" s="11">
        <f t="shared" ref="M13" si="8">L13*(1+M14)</f>
        <v>107207.65125000001</v>
      </c>
      <c r="N13" s="11">
        <f t="shared" ref="N13" si="9">M13*(1+N14)</f>
        <v>112568.03381250001</v>
      </c>
      <c r="O13" s="11">
        <f t="shared" ref="O13" si="10">N13*(1+O14)</f>
        <v>118196.43550312502</v>
      </c>
      <c r="P13" s="11">
        <f t="shared" ref="P13" si="11">O13*(1+P14)</f>
        <v>124106.25727828128</v>
      </c>
      <c r="Q13" s="11">
        <f t="shared" ref="Q13" si="12">P13*(1+Q14)</f>
        <v>130311.57014219534</v>
      </c>
      <c r="R13" s="11">
        <f t="shared" ref="R13" si="13">Q13*(1+R14)</f>
        <v>136827.14864930511</v>
      </c>
      <c r="S13" s="11">
        <f t="shared" ref="S13" si="14">R13*(1+S14)</f>
        <v>143668.50608177038</v>
      </c>
      <c r="T13" s="11">
        <f t="shared" ref="T13" si="15">S13*(1+T14)</f>
        <v>150851.93138585892</v>
      </c>
      <c r="U13" s="11">
        <f t="shared" ref="U13" si="16">T13*(1+U14)</f>
        <v>158394.52795515186</v>
      </c>
      <c r="V13" s="11">
        <f t="shared" ref="V13" si="17">U13*(1+V14)</f>
        <v>166314.25435290945</v>
      </c>
      <c r="W13" s="11">
        <f t="shared" ref="W13" si="18">V13*(1+W14)</f>
        <v>174629.96707055494</v>
      </c>
      <c r="X13" s="11">
        <f t="shared" ref="X13" si="19">W13*(1+X14)</f>
        <v>183361.46542408268</v>
      </c>
      <c r="Y13" s="11">
        <f t="shared" ref="Y13" si="20">X13*(1+Y14)</f>
        <v>192529.53869528681</v>
      </c>
      <c r="Z13" s="11">
        <f t="shared" ref="Z13" si="21">Y13*(1+Z14)</f>
        <v>202156.01563005117</v>
      </c>
    </row>
    <row r="14" spans="2:26" x14ac:dyDescent="0.25">
      <c r="B14" s="9" t="s">
        <v>15</v>
      </c>
      <c r="C14" s="57"/>
      <c r="D14" s="2"/>
      <c r="F14" s="13"/>
      <c r="G14" s="58">
        <f>Premissas!F21</f>
        <v>0.05</v>
      </c>
      <c r="H14" s="58">
        <f>Premissas!G21</f>
        <v>0.05</v>
      </c>
      <c r="I14" s="58">
        <f>Premissas!H21</f>
        <v>0.05</v>
      </c>
      <c r="J14" s="58">
        <f>Premissas!I21</f>
        <v>0.05</v>
      </c>
      <c r="K14" s="58">
        <f>Premissas!J21</f>
        <v>0.05</v>
      </c>
      <c r="L14" s="58">
        <f>Premissas!K21</f>
        <v>0.05</v>
      </c>
      <c r="M14" s="58">
        <f>Premissas!L21</f>
        <v>0.05</v>
      </c>
      <c r="N14" s="58">
        <f>Premissas!M21</f>
        <v>0.05</v>
      </c>
      <c r="O14" s="58">
        <f>Premissas!N21</f>
        <v>0.05</v>
      </c>
      <c r="P14" s="58">
        <f>Premissas!O21</f>
        <v>0.05</v>
      </c>
      <c r="Q14" s="58">
        <f>Premissas!P21</f>
        <v>0.05</v>
      </c>
      <c r="R14" s="58">
        <f>Premissas!Q21</f>
        <v>0.05</v>
      </c>
      <c r="S14" s="58">
        <f>Premissas!R21</f>
        <v>0.05</v>
      </c>
      <c r="T14" s="58">
        <f>Premissas!S21</f>
        <v>0.05</v>
      </c>
      <c r="U14" s="58">
        <f>Premissas!T21</f>
        <v>0.05</v>
      </c>
      <c r="V14" s="58">
        <f>Premissas!U21</f>
        <v>0.05</v>
      </c>
      <c r="W14" s="58">
        <f>Premissas!V21</f>
        <v>0.05</v>
      </c>
      <c r="X14" s="58">
        <f>Premissas!W21</f>
        <v>0.05</v>
      </c>
      <c r="Y14" s="58">
        <f>Premissas!X21</f>
        <v>0.05</v>
      </c>
      <c r="Z14" s="58">
        <f>Premissas!Y21</f>
        <v>0.05</v>
      </c>
    </row>
    <row r="15" spans="2:26" x14ac:dyDescent="0.25">
      <c r="B15" s="2" t="s">
        <v>3</v>
      </c>
      <c r="C15" s="55">
        <f>Premissas!C22</f>
        <v>75000</v>
      </c>
      <c r="D15" s="2"/>
      <c r="F15" s="12"/>
      <c r="G15" s="14">
        <f>C15</f>
        <v>75000</v>
      </c>
      <c r="H15" s="11">
        <f>G15*(1+H16)</f>
        <v>78750</v>
      </c>
      <c r="I15" s="11">
        <f t="shared" ref="I15" si="22">H15*(1+I16)</f>
        <v>82687.5</v>
      </c>
      <c r="J15" s="11">
        <f t="shared" ref="J15" si="23">I15*(1+J16)</f>
        <v>86821.875</v>
      </c>
      <c r="K15" s="11">
        <f t="shared" ref="K15" si="24">J15*(1+K16)</f>
        <v>91162.96875</v>
      </c>
      <c r="L15" s="11">
        <f t="shared" ref="L15" si="25">K15*(1+L16)</f>
        <v>95721.1171875</v>
      </c>
      <c r="M15" s="11">
        <f t="shared" ref="M15" si="26">L15*(1+M16)</f>
        <v>100507.173046875</v>
      </c>
      <c r="N15" s="11">
        <f t="shared" ref="N15" si="27">M15*(1+N16)</f>
        <v>105532.53169921876</v>
      </c>
      <c r="O15" s="11">
        <f t="shared" ref="O15" si="28">N15*(1+O16)</f>
        <v>110809.15828417971</v>
      </c>
      <c r="P15" s="11">
        <f t="shared" ref="P15" si="29">O15*(1+P16)</f>
        <v>116349.6161983887</v>
      </c>
      <c r="Q15" s="11">
        <f t="shared" ref="Q15" si="30">P15*(1+Q16)</f>
        <v>122167.09700830813</v>
      </c>
      <c r="R15" s="11">
        <f t="shared" ref="R15" si="31">Q15*(1+R16)</f>
        <v>128275.45185872355</v>
      </c>
      <c r="S15" s="11">
        <f t="shared" ref="S15" si="32">R15*(1+S16)</f>
        <v>134689.22445165974</v>
      </c>
      <c r="T15" s="11">
        <f t="shared" ref="T15" si="33">S15*(1+T16)</f>
        <v>141423.68567424273</v>
      </c>
      <c r="U15" s="11">
        <f t="shared" ref="U15" si="34">T15*(1+U16)</f>
        <v>148494.86995795488</v>
      </c>
      <c r="V15" s="11">
        <f t="shared" ref="V15" si="35">U15*(1+V16)</f>
        <v>155919.61345585264</v>
      </c>
      <c r="W15" s="11">
        <f t="shared" ref="W15" si="36">V15*(1+W16)</f>
        <v>163715.59412864529</v>
      </c>
      <c r="X15" s="11">
        <f t="shared" ref="X15" si="37">W15*(1+X16)</f>
        <v>171901.37383507757</v>
      </c>
      <c r="Y15" s="11">
        <f t="shared" ref="Y15" si="38">X15*(1+Y16)</f>
        <v>180496.44252683147</v>
      </c>
      <c r="Z15" s="11">
        <f t="shared" ref="Z15" si="39">Y15*(1+Z16)</f>
        <v>189521.26465317304</v>
      </c>
    </row>
    <row r="16" spans="2:26" x14ac:dyDescent="0.25">
      <c r="B16" s="9" t="s">
        <v>15</v>
      </c>
      <c r="C16" s="57"/>
      <c r="D16" s="2"/>
      <c r="F16" s="13"/>
      <c r="G16" s="58">
        <f>Premissas!F23</f>
        <v>0.05</v>
      </c>
      <c r="H16" s="58">
        <f>Premissas!G23</f>
        <v>0.05</v>
      </c>
      <c r="I16" s="58">
        <f>Premissas!H23</f>
        <v>0.05</v>
      </c>
      <c r="J16" s="58">
        <f>Premissas!I23</f>
        <v>0.05</v>
      </c>
      <c r="K16" s="58">
        <f>Premissas!J23</f>
        <v>0.05</v>
      </c>
      <c r="L16" s="58">
        <f>Premissas!K23</f>
        <v>0.05</v>
      </c>
      <c r="M16" s="58">
        <f>Premissas!L23</f>
        <v>0.05</v>
      </c>
      <c r="N16" s="58">
        <f>Premissas!M23</f>
        <v>0.05</v>
      </c>
      <c r="O16" s="58">
        <f>Premissas!N23</f>
        <v>0.05</v>
      </c>
      <c r="P16" s="58">
        <f>Premissas!O23</f>
        <v>0.05</v>
      </c>
      <c r="Q16" s="58">
        <f>Premissas!P23</f>
        <v>0.05</v>
      </c>
      <c r="R16" s="58">
        <f>Premissas!Q23</f>
        <v>0.05</v>
      </c>
      <c r="S16" s="58">
        <f>Premissas!R23</f>
        <v>0.05</v>
      </c>
      <c r="T16" s="58">
        <f>Premissas!S23</f>
        <v>0.05</v>
      </c>
      <c r="U16" s="58">
        <f>Premissas!T23</f>
        <v>0.05</v>
      </c>
      <c r="V16" s="58">
        <f>Premissas!U23</f>
        <v>0.05</v>
      </c>
      <c r="W16" s="58">
        <f>Premissas!V23</f>
        <v>0.05</v>
      </c>
      <c r="X16" s="58">
        <f>Premissas!W23</f>
        <v>0.05</v>
      </c>
      <c r="Y16" s="58">
        <f>Premissas!X23</f>
        <v>0.05</v>
      </c>
      <c r="Z16" s="58">
        <f>Premissas!Y23</f>
        <v>0.05</v>
      </c>
    </row>
    <row r="17" spans="2:26" x14ac:dyDescent="0.25">
      <c r="B17" s="2" t="s">
        <v>4</v>
      </c>
      <c r="C17" s="55">
        <f>Premissas!C24</f>
        <v>25000</v>
      </c>
      <c r="D17" s="2"/>
      <c r="F17" s="12"/>
      <c r="G17" s="14">
        <f>C17</f>
        <v>25000</v>
      </c>
      <c r="H17" s="11">
        <f>G17*(1+H18)</f>
        <v>26250</v>
      </c>
      <c r="I17" s="11">
        <f t="shared" ref="I17" si="40">H17*(1+I18)</f>
        <v>27562.5</v>
      </c>
      <c r="J17" s="11">
        <f t="shared" ref="J17" si="41">I17*(1+J18)</f>
        <v>28940.625</v>
      </c>
      <c r="K17" s="11">
        <f t="shared" ref="K17" si="42">J17*(1+K18)</f>
        <v>30387.65625</v>
      </c>
      <c r="L17" s="11">
        <f t="shared" ref="L17" si="43">K17*(1+L18)</f>
        <v>31907.0390625</v>
      </c>
      <c r="M17" s="11">
        <f t="shared" ref="M17" si="44">L17*(1+M18)</f>
        <v>33502.391015624999</v>
      </c>
      <c r="N17" s="11">
        <f t="shared" ref="N17" si="45">M17*(1+N18)</f>
        <v>35177.51056640625</v>
      </c>
      <c r="O17" s="11">
        <f t="shared" ref="O17" si="46">N17*(1+O18)</f>
        <v>36936.386094726564</v>
      </c>
      <c r="P17" s="11">
        <f t="shared" ref="P17" si="47">O17*(1+P18)</f>
        <v>38783.205399462895</v>
      </c>
      <c r="Q17" s="11">
        <f t="shared" ref="Q17" si="48">P17*(1+Q18)</f>
        <v>40722.36566943604</v>
      </c>
      <c r="R17" s="11">
        <f t="shared" ref="R17" si="49">Q17*(1+R18)</f>
        <v>42758.483952907845</v>
      </c>
      <c r="S17" s="11">
        <f t="shared" ref="S17" si="50">R17*(1+S18)</f>
        <v>44896.408150553238</v>
      </c>
      <c r="T17" s="11">
        <f t="shared" ref="T17" si="51">S17*(1+T18)</f>
        <v>47141.228558080904</v>
      </c>
      <c r="U17" s="11">
        <f t="shared" ref="U17" si="52">T17*(1+U18)</f>
        <v>49498.289985984949</v>
      </c>
      <c r="V17" s="11">
        <f t="shared" ref="V17" si="53">U17*(1+V18)</f>
        <v>51973.204485284201</v>
      </c>
      <c r="W17" s="11">
        <f t="shared" ref="W17" si="54">V17*(1+W18)</f>
        <v>54571.864709548412</v>
      </c>
      <c r="X17" s="11">
        <f t="shared" ref="X17" si="55">W17*(1+X18)</f>
        <v>57300.457945025832</v>
      </c>
      <c r="Y17" s="11">
        <f t="shared" ref="Y17" si="56">X17*(1+Y18)</f>
        <v>60165.480842277124</v>
      </c>
      <c r="Z17" s="11">
        <f t="shared" ref="Z17" si="57">Y17*(1+Z18)</f>
        <v>63173.754884390983</v>
      </c>
    </row>
    <row r="18" spans="2:26" x14ac:dyDescent="0.25">
      <c r="B18" s="9" t="s">
        <v>15</v>
      </c>
      <c r="C18" s="2"/>
      <c r="D18" s="2"/>
      <c r="F18" s="13"/>
      <c r="G18" s="58">
        <f>Premissas!F25</f>
        <v>0.05</v>
      </c>
      <c r="H18" s="58">
        <f>Premissas!G25</f>
        <v>0.05</v>
      </c>
      <c r="I18" s="58">
        <f>Premissas!H25</f>
        <v>0.05</v>
      </c>
      <c r="J18" s="58">
        <f>Premissas!I25</f>
        <v>0.05</v>
      </c>
      <c r="K18" s="58">
        <f>Premissas!J25</f>
        <v>0.05</v>
      </c>
      <c r="L18" s="58">
        <f>Premissas!K25</f>
        <v>0.05</v>
      </c>
      <c r="M18" s="58">
        <f>Premissas!L25</f>
        <v>0.05</v>
      </c>
      <c r="N18" s="58">
        <f>Premissas!M25</f>
        <v>0.05</v>
      </c>
      <c r="O18" s="58">
        <f>Premissas!N25</f>
        <v>0.05</v>
      </c>
      <c r="P18" s="58">
        <f>Premissas!O25</f>
        <v>0.05</v>
      </c>
      <c r="Q18" s="58">
        <f>Premissas!P25</f>
        <v>0.05</v>
      </c>
      <c r="R18" s="58">
        <f>Premissas!Q25</f>
        <v>0.05</v>
      </c>
      <c r="S18" s="58">
        <f>Premissas!R25</f>
        <v>0.05</v>
      </c>
      <c r="T18" s="58">
        <f>Premissas!S25</f>
        <v>0.05</v>
      </c>
      <c r="U18" s="58">
        <f>Premissas!T25</f>
        <v>0.05</v>
      </c>
      <c r="V18" s="58">
        <f>Premissas!U25</f>
        <v>0.05</v>
      </c>
      <c r="W18" s="58">
        <f>Premissas!V25</f>
        <v>0.05</v>
      </c>
      <c r="X18" s="58">
        <f>Premissas!W25</f>
        <v>0.05</v>
      </c>
      <c r="Y18" s="58">
        <f>Premissas!X25</f>
        <v>0.05</v>
      </c>
      <c r="Z18" s="58">
        <f>Premissas!Y25</f>
        <v>0.05</v>
      </c>
    </row>
    <row r="20" spans="2:26" x14ac:dyDescent="0.25">
      <c r="B20" s="3" t="s">
        <v>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2" spans="2:26" x14ac:dyDescent="0.25">
      <c r="B22" s="2" t="s">
        <v>6</v>
      </c>
      <c r="D22" s="2"/>
      <c r="F22" s="55">
        <f>Premissas!C28</f>
        <v>60</v>
      </c>
      <c r="G22" s="14">
        <f>F22*(1+$C$6)</f>
        <v>62.400000000000006</v>
      </c>
      <c r="H22" s="14">
        <f t="shared" ref="H22:Z22" si="58">G22*(1+$C$6)</f>
        <v>64.896000000000015</v>
      </c>
      <c r="I22" s="14">
        <f t="shared" si="58"/>
        <v>67.491840000000025</v>
      </c>
      <c r="J22" s="14">
        <f t="shared" si="58"/>
        <v>70.191513600000022</v>
      </c>
      <c r="K22" s="14">
        <f t="shared" si="58"/>
        <v>72.999174144000023</v>
      </c>
      <c r="L22" s="14">
        <f t="shared" si="58"/>
        <v>75.91914110976002</v>
      </c>
      <c r="M22" s="14">
        <f t="shared" si="58"/>
        <v>78.955906754150419</v>
      </c>
      <c r="N22" s="14">
        <f t="shared" si="58"/>
        <v>82.114143024316434</v>
      </c>
      <c r="O22" s="14">
        <f t="shared" si="58"/>
        <v>85.398708745289099</v>
      </c>
      <c r="P22" s="14">
        <f t="shared" si="58"/>
        <v>88.814657095100671</v>
      </c>
      <c r="Q22" s="14">
        <f t="shared" si="58"/>
        <v>92.367243378904703</v>
      </c>
      <c r="R22" s="14">
        <f t="shared" si="58"/>
        <v>96.061933114060892</v>
      </c>
      <c r="S22" s="14">
        <f t="shared" si="58"/>
        <v>99.90441043862333</v>
      </c>
      <c r="T22" s="14">
        <f t="shared" si="58"/>
        <v>103.90058685616826</v>
      </c>
      <c r="U22" s="14">
        <f t="shared" si="58"/>
        <v>108.056610330415</v>
      </c>
      <c r="V22" s="14">
        <f t="shared" si="58"/>
        <v>112.3788747436316</v>
      </c>
      <c r="W22" s="14">
        <f t="shared" si="58"/>
        <v>116.87402973337687</v>
      </c>
      <c r="X22" s="14">
        <f t="shared" si="58"/>
        <v>121.54899092271195</v>
      </c>
      <c r="Y22" s="14">
        <f t="shared" si="58"/>
        <v>126.41095055962043</v>
      </c>
      <c r="Z22" s="14">
        <f t="shared" si="58"/>
        <v>131.46738858200524</v>
      </c>
    </row>
    <row r="23" spans="2:26" x14ac:dyDescent="0.25">
      <c r="B23" s="2" t="s">
        <v>7</v>
      </c>
      <c r="D23" s="2"/>
      <c r="F23" s="55">
        <f>Premissas!C29</f>
        <v>60</v>
      </c>
      <c r="G23" s="14">
        <f>F23*(1+$C$6)</f>
        <v>62.400000000000006</v>
      </c>
      <c r="H23" s="14">
        <f t="shared" ref="H23:Z23" si="59">G23*(1+$C$6)</f>
        <v>64.896000000000015</v>
      </c>
      <c r="I23" s="14">
        <f t="shared" si="59"/>
        <v>67.491840000000025</v>
      </c>
      <c r="J23" s="14">
        <f t="shared" si="59"/>
        <v>70.191513600000022</v>
      </c>
      <c r="K23" s="14">
        <f t="shared" si="59"/>
        <v>72.999174144000023</v>
      </c>
      <c r="L23" s="14">
        <f t="shared" si="59"/>
        <v>75.91914110976002</v>
      </c>
      <c r="M23" s="14">
        <f t="shared" si="59"/>
        <v>78.955906754150419</v>
      </c>
      <c r="N23" s="14">
        <f t="shared" si="59"/>
        <v>82.114143024316434</v>
      </c>
      <c r="O23" s="14">
        <f t="shared" si="59"/>
        <v>85.398708745289099</v>
      </c>
      <c r="P23" s="14">
        <f t="shared" si="59"/>
        <v>88.814657095100671</v>
      </c>
      <c r="Q23" s="14">
        <f t="shared" si="59"/>
        <v>92.367243378904703</v>
      </c>
      <c r="R23" s="14">
        <f t="shared" si="59"/>
        <v>96.061933114060892</v>
      </c>
      <c r="S23" s="14">
        <f t="shared" si="59"/>
        <v>99.90441043862333</v>
      </c>
      <c r="T23" s="14">
        <f t="shared" si="59"/>
        <v>103.90058685616826</v>
      </c>
      <c r="U23" s="14">
        <f t="shared" si="59"/>
        <v>108.056610330415</v>
      </c>
      <c r="V23" s="14">
        <f t="shared" si="59"/>
        <v>112.3788747436316</v>
      </c>
      <c r="W23" s="14">
        <f t="shared" si="59"/>
        <v>116.87402973337687</v>
      </c>
      <c r="X23" s="14">
        <f t="shared" si="59"/>
        <v>121.54899092271195</v>
      </c>
      <c r="Y23" s="14">
        <f t="shared" si="59"/>
        <v>126.41095055962043</v>
      </c>
      <c r="Z23" s="14">
        <f t="shared" si="59"/>
        <v>131.46738858200524</v>
      </c>
    </row>
    <row r="24" spans="2:26" x14ac:dyDescent="0.25">
      <c r="B24" s="2" t="s">
        <v>8</v>
      </c>
      <c r="D24" s="2"/>
      <c r="F24" s="55">
        <f>Premissas!C30</f>
        <v>60</v>
      </c>
      <c r="G24" s="14">
        <f>F24*(1+$C$6)</f>
        <v>62.400000000000006</v>
      </c>
      <c r="H24" s="14">
        <f t="shared" ref="H24:Z24" si="60">G24*(1+$C$6)</f>
        <v>64.896000000000015</v>
      </c>
      <c r="I24" s="14">
        <f t="shared" si="60"/>
        <v>67.491840000000025</v>
      </c>
      <c r="J24" s="14">
        <f t="shared" si="60"/>
        <v>70.191513600000022</v>
      </c>
      <c r="K24" s="14">
        <f t="shared" si="60"/>
        <v>72.999174144000023</v>
      </c>
      <c r="L24" s="14">
        <f t="shared" si="60"/>
        <v>75.91914110976002</v>
      </c>
      <c r="M24" s="14">
        <f t="shared" si="60"/>
        <v>78.955906754150419</v>
      </c>
      <c r="N24" s="14">
        <f t="shared" si="60"/>
        <v>82.114143024316434</v>
      </c>
      <c r="O24" s="14">
        <f t="shared" si="60"/>
        <v>85.398708745289099</v>
      </c>
      <c r="P24" s="14">
        <f t="shared" si="60"/>
        <v>88.814657095100671</v>
      </c>
      <c r="Q24" s="14">
        <f t="shared" si="60"/>
        <v>92.367243378904703</v>
      </c>
      <c r="R24" s="14">
        <f t="shared" si="60"/>
        <v>96.061933114060892</v>
      </c>
      <c r="S24" s="14">
        <f t="shared" si="60"/>
        <v>99.90441043862333</v>
      </c>
      <c r="T24" s="14">
        <f t="shared" si="60"/>
        <v>103.90058685616826</v>
      </c>
      <c r="U24" s="14">
        <f t="shared" si="60"/>
        <v>108.056610330415</v>
      </c>
      <c r="V24" s="14">
        <f t="shared" si="60"/>
        <v>112.3788747436316</v>
      </c>
      <c r="W24" s="14">
        <f t="shared" si="60"/>
        <v>116.87402973337687</v>
      </c>
      <c r="X24" s="14">
        <f t="shared" si="60"/>
        <v>121.54899092271195</v>
      </c>
      <c r="Y24" s="14">
        <f t="shared" si="60"/>
        <v>126.41095055962043</v>
      </c>
      <c r="Z24" s="14">
        <f t="shared" si="60"/>
        <v>131.46738858200524</v>
      </c>
    </row>
    <row r="25" spans="2:26" x14ac:dyDescent="0.25">
      <c r="B25" s="2" t="s">
        <v>9</v>
      </c>
      <c r="D25" s="2"/>
      <c r="F25" s="55">
        <f>Premissas!C31</f>
        <v>60</v>
      </c>
      <c r="G25" s="14">
        <f>F25*(1+$C$6)</f>
        <v>62.400000000000006</v>
      </c>
      <c r="H25" s="14">
        <f t="shared" ref="H25:Z25" si="61">G25*(1+$C$6)</f>
        <v>64.896000000000015</v>
      </c>
      <c r="I25" s="14">
        <f t="shared" si="61"/>
        <v>67.491840000000025</v>
      </c>
      <c r="J25" s="14">
        <f t="shared" si="61"/>
        <v>70.191513600000022</v>
      </c>
      <c r="K25" s="14">
        <f t="shared" si="61"/>
        <v>72.999174144000023</v>
      </c>
      <c r="L25" s="14">
        <f t="shared" si="61"/>
        <v>75.91914110976002</v>
      </c>
      <c r="M25" s="14">
        <f t="shared" si="61"/>
        <v>78.955906754150419</v>
      </c>
      <c r="N25" s="14">
        <f t="shared" si="61"/>
        <v>82.114143024316434</v>
      </c>
      <c r="O25" s="14">
        <f t="shared" si="61"/>
        <v>85.398708745289099</v>
      </c>
      <c r="P25" s="14">
        <f t="shared" si="61"/>
        <v>88.814657095100671</v>
      </c>
      <c r="Q25" s="14">
        <f t="shared" si="61"/>
        <v>92.367243378904703</v>
      </c>
      <c r="R25" s="14">
        <f t="shared" si="61"/>
        <v>96.061933114060892</v>
      </c>
      <c r="S25" s="14">
        <f t="shared" si="61"/>
        <v>99.90441043862333</v>
      </c>
      <c r="T25" s="14">
        <f t="shared" si="61"/>
        <v>103.90058685616826</v>
      </c>
      <c r="U25" s="14">
        <f t="shared" si="61"/>
        <v>108.056610330415</v>
      </c>
      <c r="V25" s="14">
        <f t="shared" si="61"/>
        <v>112.3788747436316</v>
      </c>
      <c r="W25" s="14">
        <f t="shared" si="61"/>
        <v>116.87402973337687</v>
      </c>
      <c r="X25" s="14">
        <f t="shared" si="61"/>
        <v>121.54899092271195</v>
      </c>
      <c r="Y25" s="14">
        <f t="shared" si="61"/>
        <v>126.41095055962043</v>
      </c>
      <c r="Z25" s="14">
        <f t="shared" si="61"/>
        <v>131.46738858200524</v>
      </c>
    </row>
    <row r="27" spans="2:26" x14ac:dyDescent="0.25">
      <c r="B27" s="3" t="s">
        <v>16</v>
      </c>
      <c r="C27" s="3"/>
      <c r="D27" s="3"/>
      <c r="E27" s="3"/>
      <c r="F27" s="15">
        <f>SUM(F29:F32)</f>
        <v>0</v>
      </c>
      <c r="G27" s="15">
        <f t="shared" ref="G27:Z27" si="62">SUM(G29:G32)</f>
        <v>17472000</v>
      </c>
      <c r="H27" s="15">
        <f t="shared" si="62"/>
        <v>19079424.000000004</v>
      </c>
      <c r="I27" s="15">
        <f t="shared" si="62"/>
        <v>20834731.008000009</v>
      </c>
      <c r="J27" s="15">
        <f t="shared" si="62"/>
        <v>22751526.260736007</v>
      </c>
      <c r="K27" s="15">
        <f t="shared" si="62"/>
        <v>24844666.676723722</v>
      </c>
      <c r="L27" s="15">
        <f t="shared" si="62"/>
        <v>27130376.010982301</v>
      </c>
      <c r="M27" s="15">
        <f t="shared" si="62"/>
        <v>29626370.603992674</v>
      </c>
      <c r="N27" s="15">
        <f t="shared" si="62"/>
        <v>32351996.699559998</v>
      </c>
      <c r="O27" s="15">
        <f t="shared" si="62"/>
        <v>35328380.395919524</v>
      </c>
      <c r="P27" s="15">
        <f t="shared" si="62"/>
        <v>38578591.392344132</v>
      </c>
      <c r="Q27" s="15">
        <f t="shared" si="62"/>
        <v>42127821.80043979</v>
      </c>
      <c r="R27" s="15">
        <f t="shared" si="62"/>
        <v>46003581.406080253</v>
      </c>
      <c r="S27" s="15">
        <f t="shared" si="62"/>
        <v>50235910.89543964</v>
      </c>
      <c r="T27" s="15">
        <f t="shared" si="62"/>
        <v>54857614.697820097</v>
      </c>
      <c r="U27" s="15">
        <f t="shared" si="62"/>
        <v>59904515.25001955</v>
      </c>
      <c r="V27" s="15">
        <f t="shared" si="62"/>
        <v>65415730.653021336</v>
      </c>
      <c r="W27" s="15">
        <f t="shared" si="62"/>
        <v>71433977.873099312</v>
      </c>
      <c r="X27" s="15">
        <f t="shared" si="62"/>
        <v>78005903.837424442</v>
      </c>
      <c r="Y27" s="15">
        <f t="shared" si="62"/>
        <v>85182446.990467519</v>
      </c>
      <c r="Z27" s="15">
        <f t="shared" si="62"/>
        <v>93019232.113590524</v>
      </c>
    </row>
    <row r="29" spans="2:26" x14ac:dyDescent="0.25">
      <c r="B29" t="s">
        <v>10</v>
      </c>
      <c r="F29" s="14">
        <f>F11*F22</f>
        <v>0</v>
      </c>
      <c r="G29" s="14">
        <f t="shared" ref="G29:Z29" si="63">G11*G22</f>
        <v>6240000.0000000009</v>
      </c>
      <c r="H29" s="14">
        <f t="shared" si="63"/>
        <v>6814080.0000000019</v>
      </c>
      <c r="I29" s="14">
        <f t="shared" si="63"/>
        <v>7440975.3600000031</v>
      </c>
      <c r="J29" s="14">
        <f t="shared" si="63"/>
        <v>8125545.0931200022</v>
      </c>
      <c r="K29" s="14">
        <f t="shared" si="63"/>
        <v>8873095.2416870426</v>
      </c>
      <c r="L29" s="14">
        <f t="shared" si="63"/>
        <v>9689420.0039222501</v>
      </c>
      <c r="M29" s="14">
        <f t="shared" si="63"/>
        <v>10580846.644283097</v>
      </c>
      <c r="N29" s="14">
        <f t="shared" si="63"/>
        <v>11554284.535557142</v>
      </c>
      <c r="O29" s="14">
        <f t="shared" si="63"/>
        <v>12617278.7128284</v>
      </c>
      <c r="P29" s="14">
        <f t="shared" si="63"/>
        <v>13778068.354408616</v>
      </c>
      <c r="Q29" s="14">
        <f t="shared" si="63"/>
        <v>15045650.643014209</v>
      </c>
      <c r="R29" s="14">
        <f t="shared" si="63"/>
        <v>16429850.502171518</v>
      </c>
      <c r="S29" s="14">
        <f t="shared" si="63"/>
        <v>17941396.748371299</v>
      </c>
      <c r="T29" s="14">
        <f t="shared" si="63"/>
        <v>19592005.249221459</v>
      </c>
      <c r="U29" s="14">
        <f t="shared" si="63"/>
        <v>21394469.732149836</v>
      </c>
      <c r="V29" s="14">
        <f t="shared" si="63"/>
        <v>23362760.94750762</v>
      </c>
      <c r="W29" s="14">
        <f t="shared" si="63"/>
        <v>25512134.954678323</v>
      </c>
      <c r="X29" s="14">
        <f t="shared" si="63"/>
        <v>27859251.37050873</v>
      </c>
      <c r="Y29" s="14">
        <f t="shared" si="63"/>
        <v>30422302.496595535</v>
      </c>
      <c r="Z29" s="14">
        <f t="shared" si="63"/>
        <v>33221154.326282322</v>
      </c>
    </row>
    <row r="30" spans="2:26" x14ac:dyDescent="0.25">
      <c r="B30" t="s">
        <v>11</v>
      </c>
      <c r="F30" s="14">
        <f>F13*F23</f>
        <v>0</v>
      </c>
      <c r="G30" s="14">
        <f t="shared" ref="G30:Z30" si="64">G13*G23</f>
        <v>4992000</v>
      </c>
      <c r="H30" s="14">
        <f t="shared" si="64"/>
        <v>5451264.0000000009</v>
      </c>
      <c r="I30" s="14">
        <f t="shared" si="64"/>
        <v>5952780.2880000025</v>
      </c>
      <c r="J30" s="14">
        <f t="shared" si="64"/>
        <v>6500436.0744960019</v>
      </c>
      <c r="K30" s="14">
        <f t="shared" si="64"/>
        <v>7098476.1933496343</v>
      </c>
      <c r="L30" s="14">
        <f t="shared" si="64"/>
        <v>7751536.0031378008</v>
      </c>
      <c r="M30" s="14">
        <f t="shared" si="64"/>
        <v>8464677.3154264782</v>
      </c>
      <c r="N30" s="14">
        <f t="shared" si="64"/>
        <v>9243427.6284457147</v>
      </c>
      <c r="O30" s="14">
        <f t="shared" si="64"/>
        <v>10093822.970262721</v>
      </c>
      <c r="P30" s="14">
        <f t="shared" si="64"/>
        <v>11022454.683526894</v>
      </c>
      <c r="Q30" s="14">
        <f t="shared" si="64"/>
        <v>12036520.514411369</v>
      </c>
      <c r="R30" s="14">
        <f t="shared" si="64"/>
        <v>13143880.401737215</v>
      </c>
      <c r="S30" s="14">
        <f t="shared" si="64"/>
        <v>14353117.398697039</v>
      </c>
      <c r="T30" s="14">
        <f t="shared" si="64"/>
        <v>15673604.19937717</v>
      </c>
      <c r="U30" s="14">
        <f t="shared" si="64"/>
        <v>17115575.785719872</v>
      </c>
      <c r="V30" s="14">
        <f t="shared" si="64"/>
        <v>18690208.7580061</v>
      </c>
      <c r="W30" s="14">
        <f t="shared" si="64"/>
        <v>20409707.963742662</v>
      </c>
      <c r="X30" s="14">
        <f t="shared" si="64"/>
        <v>22287401.096406985</v>
      </c>
      <c r="Y30" s="14">
        <f t="shared" si="64"/>
        <v>24337841.997276429</v>
      </c>
      <c r="Z30" s="14">
        <f t="shared" si="64"/>
        <v>26576923.461025864</v>
      </c>
    </row>
    <row r="31" spans="2:26" x14ac:dyDescent="0.25">
      <c r="B31" t="s">
        <v>12</v>
      </c>
      <c r="F31" s="14">
        <f>F15*F24</f>
        <v>0</v>
      </c>
      <c r="G31" s="14">
        <f t="shared" ref="G31:Z31" si="65">G15*G24</f>
        <v>4680000</v>
      </c>
      <c r="H31" s="14">
        <f t="shared" si="65"/>
        <v>5110560.0000000009</v>
      </c>
      <c r="I31" s="14">
        <f t="shared" si="65"/>
        <v>5580731.5200000023</v>
      </c>
      <c r="J31" s="14">
        <f t="shared" si="65"/>
        <v>6094158.8198400019</v>
      </c>
      <c r="K31" s="14">
        <f t="shared" si="65"/>
        <v>6654821.4312652824</v>
      </c>
      <c r="L31" s="14">
        <f t="shared" si="65"/>
        <v>7267065.0029416876</v>
      </c>
      <c r="M31" s="14">
        <f t="shared" si="65"/>
        <v>7935634.9832123229</v>
      </c>
      <c r="N31" s="14">
        <f t="shared" si="65"/>
        <v>8665713.4016678575</v>
      </c>
      <c r="O31" s="14">
        <f t="shared" si="65"/>
        <v>9462959.034621302</v>
      </c>
      <c r="P31" s="14">
        <f t="shared" si="65"/>
        <v>10333551.265806463</v>
      </c>
      <c r="Q31" s="14">
        <f t="shared" si="65"/>
        <v>11284237.982260657</v>
      </c>
      <c r="R31" s="14">
        <f t="shared" si="65"/>
        <v>12322387.876628639</v>
      </c>
      <c r="S31" s="14">
        <f t="shared" si="65"/>
        <v>13456047.561278475</v>
      </c>
      <c r="T31" s="14">
        <f t="shared" si="65"/>
        <v>14694003.936916096</v>
      </c>
      <c r="U31" s="14">
        <f t="shared" si="65"/>
        <v>16045852.29911238</v>
      </c>
      <c r="V31" s="14">
        <f t="shared" si="65"/>
        <v>17522070.710630719</v>
      </c>
      <c r="W31" s="14">
        <f t="shared" si="65"/>
        <v>19134101.216008749</v>
      </c>
      <c r="X31" s="14">
        <f t="shared" si="65"/>
        <v>20894438.527881555</v>
      </c>
      <c r="Y31" s="14">
        <f t="shared" si="65"/>
        <v>22816726.872446664</v>
      </c>
      <c r="Z31" s="14">
        <f t="shared" si="65"/>
        <v>24915865.744711757</v>
      </c>
    </row>
    <row r="32" spans="2:26" x14ac:dyDescent="0.25">
      <c r="B32" t="s">
        <v>13</v>
      </c>
      <c r="F32" s="14">
        <f>F17*F25</f>
        <v>0</v>
      </c>
      <c r="G32" s="14">
        <f t="shared" ref="G32:Z32" si="66">G17*G25</f>
        <v>1560000.0000000002</v>
      </c>
      <c r="H32" s="14">
        <f t="shared" si="66"/>
        <v>1703520.0000000005</v>
      </c>
      <c r="I32" s="14">
        <f t="shared" si="66"/>
        <v>1860243.8400000008</v>
      </c>
      <c r="J32" s="14">
        <f t="shared" si="66"/>
        <v>2031386.2732800005</v>
      </c>
      <c r="K32" s="14">
        <f t="shared" si="66"/>
        <v>2218273.8104217607</v>
      </c>
      <c r="L32" s="14">
        <f t="shared" si="66"/>
        <v>2422355.0009805625</v>
      </c>
      <c r="M32" s="14">
        <f t="shared" si="66"/>
        <v>2645211.6610707743</v>
      </c>
      <c r="N32" s="14">
        <f t="shared" si="66"/>
        <v>2888571.1338892854</v>
      </c>
      <c r="O32" s="14">
        <f t="shared" si="66"/>
        <v>3154319.6782070999</v>
      </c>
      <c r="P32" s="14">
        <f t="shared" si="66"/>
        <v>3444517.0886021541</v>
      </c>
      <c r="Q32" s="14">
        <f t="shared" si="66"/>
        <v>3761412.6607535523</v>
      </c>
      <c r="R32" s="14">
        <f t="shared" si="66"/>
        <v>4107462.6255428796</v>
      </c>
      <c r="S32" s="14">
        <f t="shared" si="66"/>
        <v>4485349.1870928248</v>
      </c>
      <c r="T32" s="14">
        <f t="shared" si="66"/>
        <v>4898001.3123053648</v>
      </c>
      <c r="U32" s="14">
        <f t="shared" si="66"/>
        <v>5348617.4330374589</v>
      </c>
      <c r="V32" s="14">
        <f t="shared" si="66"/>
        <v>5840690.236876905</v>
      </c>
      <c r="W32" s="14">
        <f t="shared" si="66"/>
        <v>6378033.7386695808</v>
      </c>
      <c r="X32" s="14">
        <f t="shared" si="66"/>
        <v>6964812.8426271826</v>
      </c>
      <c r="Y32" s="14">
        <f t="shared" si="66"/>
        <v>7605575.6241488839</v>
      </c>
      <c r="Z32" s="14">
        <f t="shared" si="66"/>
        <v>8305288.5815705806</v>
      </c>
    </row>
    <row r="34" spans="2:26" x14ac:dyDescent="0.25">
      <c r="B34" s="3" t="s">
        <v>17</v>
      </c>
      <c r="C34" s="3"/>
      <c r="D34" s="3"/>
      <c r="E34" s="3"/>
      <c r="F34" s="15">
        <f>SUM(F36:F39)</f>
        <v>0</v>
      </c>
      <c r="G34" s="15">
        <f t="shared" ref="G34:Z34" si="67">SUM(G36:G39)</f>
        <v>-2489760</v>
      </c>
      <c r="H34" s="15">
        <f t="shared" si="67"/>
        <v>-2718817.9200000004</v>
      </c>
      <c r="I34" s="15">
        <f t="shared" si="67"/>
        <v>-2968949.1686400012</v>
      </c>
      <c r="J34" s="15">
        <f t="shared" si="67"/>
        <v>-3242092.4921548809</v>
      </c>
      <c r="K34" s="15">
        <f t="shared" si="67"/>
        <v>-3540365.0014331308</v>
      </c>
      <c r="L34" s="15">
        <f t="shared" si="67"/>
        <v>-3866078.5815649778</v>
      </c>
      <c r="M34" s="15">
        <f t="shared" si="67"/>
        <v>-4221757.8110689558</v>
      </c>
      <c r="N34" s="15">
        <f t="shared" si="67"/>
        <v>-4610159.5296873003</v>
      </c>
      <c r="O34" s="15">
        <f t="shared" si="67"/>
        <v>-5034294.2064185329</v>
      </c>
      <c r="P34" s="15">
        <f t="shared" si="67"/>
        <v>-5497449.2734090388</v>
      </c>
      <c r="Q34" s="15">
        <f t="shared" si="67"/>
        <v>-6003214.6065626703</v>
      </c>
      <c r="R34" s="15">
        <f t="shared" si="67"/>
        <v>-6555510.3503664359</v>
      </c>
      <c r="S34" s="15">
        <f t="shared" si="67"/>
        <v>-7158617.3026001491</v>
      </c>
      <c r="T34" s="15">
        <f t="shared" si="67"/>
        <v>-7817210.094439364</v>
      </c>
      <c r="U34" s="15">
        <f t="shared" si="67"/>
        <v>-8536393.4231277853</v>
      </c>
      <c r="V34" s="15">
        <f t="shared" si="67"/>
        <v>-9321741.6180555411</v>
      </c>
      <c r="W34" s="15">
        <f t="shared" si="67"/>
        <v>-10179341.846916653</v>
      </c>
      <c r="X34" s="15">
        <f t="shared" si="67"/>
        <v>-11115841.296832982</v>
      </c>
      <c r="Y34" s="15">
        <f t="shared" si="67"/>
        <v>-12138498.696141623</v>
      </c>
      <c r="Z34" s="15">
        <f t="shared" si="67"/>
        <v>-13255240.57618665</v>
      </c>
    </row>
    <row r="36" spans="2:26" x14ac:dyDescent="0.25">
      <c r="B36" t="s">
        <v>18</v>
      </c>
      <c r="C36" s="64">
        <f>Premissas!C10</f>
        <v>1.6500000000000001E-2</v>
      </c>
      <c r="F36" s="11">
        <f>F$27*-$C36</f>
        <v>0</v>
      </c>
      <c r="G36" s="11">
        <f t="shared" ref="G36:Z39" si="68">G$27*-$C36</f>
        <v>-288288</v>
      </c>
      <c r="H36" s="11">
        <f t="shared" si="68"/>
        <v>-314810.4960000001</v>
      </c>
      <c r="I36" s="11">
        <f t="shared" si="68"/>
        <v>-343773.06163200014</v>
      </c>
      <c r="J36" s="11">
        <f t="shared" si="68"/>
        <v>-375400.18330214411</v>
      </c>
      <c r="K36" s="11">
        <f t="shared" si="68"/>
        <v>-409937.00016594143</v>
      </c>
      <c r="L36" s="11">
        <f t="shared" si="68"/>
        <v>-447651.20418120798</v>
      </c>
      <c r="M36" s="11">
        <f t="shared" si="68"/>
        <v>-488835.11496587913</v>
      </c>
      <c r="N36" s="11">
        <f t="shared" si="68"/>
        <v>-533807.94554273994</v>
      </c>
      <c r="O36" s="11">
        <f t="shared" si="68"/>
        <v>-582918.27653267223</v>
      </c>
      <c r="P36" s="11">
        <f t="shared" si="68"/>
        <v>-636546.75797367818</v>
      </c>
      <c r="Q36" s="11">
        <f t="shared" si="68"/>
        <v>-695109.05970725662</v>
      </c>
      <c r="R36" s="11">
        <f t="shared" si="68"/>
        <v>-759059.09320032422</v>
      </c>
      <c r="S36" s="11">
        <f t="shared" si="68"/>
        <v>-828892.52977475408</v>
      </c>
      <c r="T36" s="11">
        <f t="shared" si="68"/>
        <v>-905150.64251403161</v>
      </c>
      <c r="U36" s="11">
        <f t="shared" si="68"/>
        <v>-988424.50162532262</v>
      </c>
      <c r="V36" s="11">
        <f t="shared" si="68"/>
        <v>-1079359.5557748522</v>
      </c>
      <c r="W36" s="11">
        <f t="shared" si="68"/>
        <v>-1178660.6349061388</v>
      </c>
      <c r="X36" s="11">
        <f t="shared" si="68"/>
        <v>-1287097.4133175034</v>
      </c>
      <c r="Y36" s="11">
        <f t="shared" si="68"/>
        <v>-1405510.3753427141</v>
      </c>
      <c r="Z36" s="11">
        <f t="shared" si="68"/>
        <v>-1534817.3298742438</v>
      </c>
    </row>
    <row r="37" spans="2:26" x14ac:dyDescent="0.25">
      <c r="B37" t="s">
        <v>19</v>
      </c>
      <c r="C37" s="64">
        <f>Premissas!C11</f>
        <v>7.5999999999999998E-2</v>
      </c>
      <c r="F37" s="11">
        <f t="shared" ref="F37:U39" si="69">F$27*-$C37</f>
        <v>0</v>
      </c>
      <c r="G37" s="11">
        <f t="shared" si="69"/>
        <v>-1327872</v>
      </c>
      <c r="H37" s="11">
        <f t="shared" si="69"/>
        <v>-1450036.2240000002</v>
      </c>
      <c r="I37" s="11">
        <f t="shared" si="69"/>
        <v>-1583439.5566080005</v>
      </c>
      <c r="J37" s="11">
        <f t="shared" si="69"/>
        <v>-1729115.9958159365</v>
      </c>
      <c r="K37" s="11">
        <f t="shared" si="69"/>
        <v>-1888194.6674310029</v>
      </c>
      <c r="L37" s="11">
        <f t="shared" si="69"/>
        <v>-2061908.5768346549</v>
      </c>
      <c r="M37" s="11">
        <f t="shared" si="69"/>
        <v>-2251604.165903443</v>
      </c>
      <c r="N37" s="11">
        <f t="shared" si="69"/>
        <v>-2458751.7491665599</v>
      </c>
      <c r="O37" s="11">
        <f t="shared" si="69"/>
        <v>-2684956.910089884</v>
      </c>
      <c r="P37" s="11">
        <f t="shared" si="69"/>
        <v>-2931972.9458181541</v>
      </c>
      <c r="Q37" s="11">
        <f t="shared" si="69"/>
        <v>-3201714.456833424</v>
      </c>
      <c r="R37" s="11">
        <f t="shared" si="69"/>
        <v>-3496272.186862099</v>
      </c>
      <c r="S37" s="11">
        <f t="shared" si="69"/>
        <v>-3817929.2280534124</v>
      </c>
      <c r="T37" s="11">
        <f t="shared" si="69"/>
        <v>-4169178.7170343273</v>
      </c>
      <c r="U37" s="11">
        <f t="shared" si="69"/>
        <v>-4552743.1590014854</v>
      </c>
      <c r="V37" s="11">
        <f t="shared" si="68"/>
        <v>-4971595.5296296217</v>
      </c>
      <c r="W37" s="11">
        <f t="shared" si="68"/>
        <v>-5428982.3183555473</v>
      </c>
      <c r="X37" s="11">
        <f t="shared" si="68"/>
        <v>-5928448.6916442579</v>
      </c>
      <c r="Y37" s="11">
        <f t="shared" si="68"/>
        <v>-6473865.9712755317</v>
      </c>
      <c r="Z37" s="11">
        <f t="shared" si="68"/>
        <v>-7069461.6406328799</v>
      </c>
    </row>
    <row r="38" spans="2:26" x14ac:dyDescent="0.25">
      <c r="B38" t="s">
        <v>20</v>
      </c>
      <c r="C38" s="64">
        <f>Premissas!C12</f>
        <v>0.05</v>
      </c>
      <c r="F38" s="11">
        <f t="shared" si="69"/>
        <v>0</v>
      </c>
      <c r="G38" s="11">
        <f t="shared" si="68"/>
        <v>-873600</v>
      </c>
      <c r="H38" s="11">
        <f t="shared" si="68"/>
        <v>-953971.20000000019</v>
      </c>
      <c r="I38" s="11">
        <f t="shared" si="68"/>
        <v>-1041736.5504000005</v>
      </c>
      <c r="J38" s="11">
        <f t="shared" si="68"/>
        <v>-1137576.3130368004</v>
      </c>
      <c r="K38" s="11">
        <f t="shared" si="68"/>
        <v>-1242233.3338361862</v>
      </c>
      <c r="L38" s="11">
        <f t="shared" si="68"/>
        <v>-1356518.8005491151</v>
      </c>
      <c r="M38" s="11">
        <f t="shared" si="68"/>
        <v>-1481318.5301996339</v>
      </c>
      <c r="N38" s="11">
        <f t="shared" si="68"/>
        <v>-1617599.834978</v>
      </c>
      <c r="O38" s="11">
        <f t="shared" si="68"/>
        <v>-1766419.0197959763</v>
      </c>
      <c r="P38" s="11">
        <f t="shared" si="68"/>
        <v>-1928929.5696172067</v>
      </c>
      <c r="Q38" s="11">
        <f t="shared" si="68"/>
        <v>-2106391.0900219898</v>
      </c>
      <c r="R38" s="11">
        <f t="shared" si="68"/>
        <v>-2300179.0703040129</v>
      </c>
      <c r="S38" s="11">
        <f t="shared" si="68"/>
        <v>-2511795.5447719819</v>
      </c>
      <c r="T38" s="11">
        <f t="shared" si="68"/>
        <v>-2742880.7348910049</v>
      </c>
      <c r="U38" s="11">
        <f t="shared" si="68"/>
        <v>-2995225.7625009776</v>
      </c>
      <c r="V38" s="11">
        <f t="shared" si="68"/>
        <v>-3270786.5326510668</v>
      </c>
      <c r="W38" s="11">
        <f t="shared" si="68"/>
        <v>-3571698.8936549658</v>
      </c>
      <c r="X38" s="11">
        <f t="shared" si="68"/>
        <v>-3900295.1918712221</v>
      </c>
      <c r="Y38" s="11">
        <f t="shared" si="68"/>
        <v>-4259122.3495233757</v>
      </c>
      <c r="Z38" s="11">
        <f t="shared" si="68"/>
        <v>-4650961.605679526</v>
      </c>
    </row>
    <row r="39" spans="2:26" x14ac:dyDescent="0.25">
      <c r="B39" t="s">
        <v>21</v>
      </c>
      <c r="C39" s="64">
        <f>Premissas!C13</f>
        <v>0</v>
      </c>
      <c r="F39" s="11">
        <f t="shared" si="69"/>
        <v>0</v>
      </c>
      <c r="G39" s="11">
        <f t="shared" si="68"/>
        <v>0</v>
      </c>
      <c r="H39" s="11">
        <f t="shared" si="68"/>
        <v>0</v>
      </c>
      <c r="I39" s="11">
        <f t="shared" si="68"/>
        <v>0</v>
      </c>
      <c r="J39" s="11">
        <f t="shared" si="68"/>
        <v>0</v>
      </c>
      <c r="K39" s="11">
        <f t="shared" si="68"/>
        <v>0</v>
      </c>
      <c r="L39" s="11">
        <f t="shared" si="68"/>
        <v>0</v>
      </c>
      <c r="M39" s="11">
        <f t="shared" si="68"/>
        <v>0</v>
      </c>
      <c r="N39" s="11">
        <f t="shared" si="68"/>
        <v>0</v>
      </c>
      <c r="O39" s="11">
        <f t="shared" si="68"/>
        <v>0</v>
      </c>
      <c r="P39" s="11">
        <f t="shared" si="68"/>
        <v>0</v>
      </c>
      <c r="Q39" s="11">
        <f t="shared" si="68"/>
        <v>0</v>
      </c>
      <c r="R39" s="11">
        <f t="shared" si="68"/>
        <v>0</v>
      </c>
      <c r="S39" s="11">
        <f t="shared" si="68"/>
        <v>0</v>
      </c>
      <c r="T39" s="11">
        <f t="shared" si="68"/>
        <v>0</v>
      </c>
      <c r="U39" s="11">
        <f t="shared" si="68"/>
        <v>0</v>
      </c>
      <c r="V39" s="11">
        <f t="shared" si="68"/>
        <v>0</v>
      </c>
      <c r="W39" s="11">
        <f t="shared" si="68"/>
        <v>0</v>
      </c>
      <c r="X39" s="11">
        <f t="shared" si="68"/>
        <v>0</v>
      </c>
      <c r="Y39" s="11">
        <f t="shared" si="68"/>
        <v>0</v>
      </c>
      <c r="Z39" s="11">
        <f t="shared" si="68"/>
        <v>0</v>
      </c>
    </row>
    <row r="41" spans="2:26" x14ac:dyDescent="0.25">
      <c r="B41" s="3" t="s">
        <v>22</v>
      </c>
      <c r="C41" s="3"/>
      <c r="D41" s="3"/>
      <c r="E41" s="3"/>
      <c r="F41" s="15">
        <f>F27+F34</f>
        <v>0</v>
      </c>
      <c r="G41" s="15">
        <f t="shared" ref="G41:Z41" si="70">G27+G34</f>
        <v>14982240</v>
      </c>
      <c r="H41" s="15">
        <f t="shared" si="70"/>
        <v>16360606.080000004</v>
      </c>
      <c r="I41" s="15">
        <f t="shared" si="70"/>
        <v>17865781.839360006</v>
      </c>
      <c r="J41" s="15">
        <f t="shared" si="70"/>
        <v>19509433.768581126</v>
      </c>
      <c r="K41" s="15">
        <f t="shared" si="70"/>
        <v>21304301.675290592</v>
      </c>
      <c r="L41" s="15">
        <f t="shared" si="70"/>
        <v>23264297.429417323</v>
      </c>
      <c r="M41" s="15">
        <f t="shared" si="70"/>
        <v>25404612.792923719</v>
      </c>
      <c r="N41" s="15">
        <f t="shared" si="70"/>
        <v>27741837.169872697</v>
      </c>
      <c r="O41" s="15">
        <f t="shared" si="70"/>
        <v>30294086.189500991</v>
      </c>
      <c r="P41" s="15">
        <f t="shared" si="70"/>
        <v>33081142.118935093</v>
      </c>
      <c r="Q41" s="15">
        <f t="shared" si="70"/>
        <v>36124607.193877116</v>
      </c>
      <c r="R41" s="15">
        <f t="shared" si="70"/>
        <v>39448071.055713817</v>
      </c>
      <c r="S41" s="15">
        <f t="shared" si="70"/>
        <v>43077293.592839494</v>
      </c>
      <c r="T41" s="15">
        <f t="shared" si="70"/>
        <v>47040404.603380732</v>
      </c>
      <c r="U41" s="15">
        <f t="shared" si="70"/>
        <v>51368121.826891765</v>
      </c>
      <c r="V41" s="15">
        <f t="shared" si="70"/>
        <v>56093989.034965798</v>
      </c>
      <c r="W41" s="15">
        <f t="shared" si="70"/>
        <v>61254636.026182659</v>
      </c>
      <c r="X41" s="15">
        <f t="shared" si="70"/>
        <v>66890062.540591463</v>
      </c>
      <c r="Y41" s="15">
        <f t="shared" si="70"/>
        <v>73043948.294325888</v>
      </c>
      <c r="Z41" s="15">
        <f t="shared" si="70"/>
        <v>79763991.537403882</v>
      </c>
    </row>
    <row r="43" spans="2:26" x14ac:dyDescent="0.25">
      <c r="B43" s="3" t="s">
        <v>24</v>
      </c>
      <c r="C43" s="3"/>
      <c r="D43" s="3"/>
      <c r="E43" s="3"/>
      <c r="F43" s="15">
        <f>F45+F48+F51+F54</f>
        <v>0</v>
      </c>
      <c r="G43" s="15">
        <f>-(G45+G48+G51+G54)</f>
        <v>-6292000</v>
      </c>
      <c r="H43" s="15">
        <f t="shared" ref="H43:Z43" si="71">-(H45+H48+H51+H54)</f>
        <v>-6695104</v>
      </c>
      <c r="I43" s="15">
        <f t="shared" si="71"/>
        <v>-7128263.1680000015</v>
      </c>
      <c r="J43" s="15">
        <f t="shared" si="71"/>
        <v>-7593961.3634560006</v>
      </c>
      <c r="K43" s="15">
        <f t="shared" si="71"/>
        <v>-8094899.7122539543</v>
      </c>
      <c r="L43" s="15">
        <f t="shared" si="71"/>
        <v>-8634016.1452757176</v>
      </c>
      <c r="M43" s="15">
        <f t="shared" si="71"/>
        <v>-9214506.7165152598</v>
      </c>
      <c r="N43" s="15">
        <f t="shared" si="71"/>
        <v>-9839848.8637438063</v>
      </c>
      <c r="O43" s="15">
        <f t="shared" si="71"/>
        <v>-10513826.789689749</v>
      </c>
      <c r="P43" s="15">
        <f t="shared" si="71"/>
        <v>-11240559.158041976</v>
      </c>
      <c r="Q43" s="15">
        <f t="shared" si="71"/>
        <v>-12024529.316430636</v>
      </c>
      <c r="R43" s="15">
        <f t="shared" si="71"/>
        <v>-12870618.278025007</v>
      </c>
      <c r="S43" s="15">
        <f t="shared" si="71"/>
        <v>-13784140.714665376</v>
      </c>
      <c r="T43" s="15">
        <f t="shared" si="71"/>
        <v>-14770884.237679131</v>
      </c>
      <c r="U43" s="15">
        <f t="shared" si="71"/>
        <v>-15837152.267900739</v>
      </c>
      <c r="V43" s="15">
        <f t="shared" si="71"/>
        <v>-16989810.824116938</v>
      </c>
      <c r="W43" s="15">
        <f t="shared" si="71"/>
        <v>-18236339.589407805</v>
      </c>
      <c r="X43" s="15">
        <f t="shared" si="71"/>
        <v>-19584887.647884313</v>
      </c>
      <c r="Y43" s="15">
        <f t="shared" si="71"/>
        <v>-21044334.320390698</v>
      </c>
      <c r="Z43" s="15">
        <f t="shared" si="71"/>
        <v>-22624355.567123707</v>
      </c>
    </row>
    <row r="45" spans="2:26" x14ac:dyDescent="0.25">
      <c r="B45" t="s">
        <v>25</v>
      </c>
      <c r="F45" s="18"/>
      <c r="G45" s="14">
        <f>SUM(G46:G47)</f>
        <v>2288000</v>
      </c>
      <c r="H45" s="14">
        <f t="shared" ref="H45:Z45" si="72">SUM(H46:H47)</f>
        <v>2433600</v>
      </c>
      <c r="I45" s="14">
        <f t="shared" si="72"/>
        <v>2589999.3600000003</v>
      </c>
      <c r="J45" s="14">
        <f t="shared" si="72"/>
        <v>2758087.7875200007</v>
      </c>
      <c r="K45" s="14">
        <f t="shared" si="72"/>
        <v>2938832.6898278408</v>
      </c>
      <c r="L45" s="14">
        <f t="shared" si="72"/>
        <v>3133286.1561822421</v>
      </c>
      <c r="M45" s="14">
        <f t="shared" si="72"/>
        <v>3342592.5757968575</v>
      </c>
      <c r="N45" s="14">
        <f t="shared" si="72"/>
        <v>3567996.9497458525</v>
      </c>
      <c r="O45" s="14">
        <f t="shared" si="72"/>
        <v>3810853.9603771828</v>
      </c>
      <c r="P45" s="14">
        <f t="shared" si="72"/>
        <v>4072637.867636783</v>
      </c>
      <c r="Q45" s="14">
        <f t="shared" si="72"/>
        <v>4354953.3080804618</v>
      </c>
      <c r="R45" s="14">
        <f t="shared" si="72"/>
        <v>4659547.0793098044</v>
      </c>
      <c r="S45" s="14">
        <f t="shared" si="72"/>
        <v>4988321.0001676837</v>
      </c>
      <c r="T45" s="14">
        <f t="shared" si="72"/>
        <v>5343345.945326942</v>
      </c>
      <c r="U45" s="14">
        <f t="shared" si="72"/>
        <v>5726877.161966606</v>
      </c>
      <c r="V45" s="14">
        <f t="shared" si="72"/>
        <v>6141370.9861239027</v>
      </c>
      <c r="W45" s="14">
        <f t="shared" si="72"/>
        <v>6589503.0871139262</v>
      </c>
      <c r="X45" s="14">
        <f t="shared" si="72"/>
        <v>7074188.3802056964</v>
      </c>
      <c r="Y45" s="14">
        <f t="shared" si="72"/>
        <v>7598602.7606249992</v>
      </c>
      <c r="Z45" s="14">
        <f t="shared" si="72"/>
        <v>8166206.8260204941</v>
      </c>
    </row>
    <row r="46" spans="2:26" x14ac:dyDescent="0.25">
      <c r="B46" s="2" t="s">
        <v>29</v>
      </c>
      <c r="C46" s="56">
        <f>Premissas!C35</f>
        <v>1200000</v>
      </c>
      <c r="F46" s="18"/>
      <c r="G46" s="20">
        <f>$C46*G$6</f>
        <v>1248000</v>
      </c>
      <c r="H46" s="20">
        <f t="shared" ref="H46:Z46" si="73">$C46*H$6</f>
        <v>1297920.0000000002</v>
      </c>
      <c r="I46" s="20">
        <f t="shared" si="73"/>
        <v>1349836.8</v>
      </c>
      <c r="J46" s="20">
        <f t="shared" si="73"/>
        <v>1403830.2720000003</v>
      </c>
      <c r="K46" s="20">
        <f t="shared" si="73"/>
        <v>1459983.4828800005</v>
      </c>
      <c r="L46" s="20">
        <f t="shared" si="73"/>
        <v>1518382.8221952005</v>
      </c>
      <c r="M46" s="20">
        <f t="shared" si="73"/>
        <v>1579118.1350830083</v>
      </c>
      <c r="N46" s="20">
        <f t="shared" si="73"/>
        <v>1642282.8604863288</v>
      </c>
      <c r="O46" s="20">
        <f t="shared" si="73"/>
        <v>1707974.1749057823</v>
      </c>
      <c r="P46" s="20">
        <f t="shared" si="73"/>
        <v>1776293.1419020134</v>
      </c>
      <c r="Q46" s="20">
        <f t="shared" si="73"/>
        <v>1847344.8675780939</v>
      </c>
      <c r="R46" s="20">
        <f t="shared" si="73"/>
        <v>1921238.662281218</v>
      </c>
      <c r="S46" s="20">
        <f t="shared" si="73"/>
        <v>1998088.208772467</v>
      </c>
      <c r="T46" s="20">
        <f t="shared" si="73"/>
        <v>2078011.7371233655</v>
      </c>
      <c r="U46" s="20">
        <f t="shared" si="73"/>
        <v>2161132.2066083001</v>
      </c>
      <c r="V46" s="20">
        <f t="shared" si="73"/>
        <v>2247577.4948726324</v>
      </c>
      <c r="W46" s="20">
        <f t="shared" si="73"/>
        <v>2337480.5946675381</v>
      </c>
      <c r="X46" s="20">
        <f t="shared" si="73"/>
        <v>2430979.8184542395</v>
      </c>
      <c r="Y46" s="20">
        <f t="shared" si="73"/>
        <v>2528219.0111924093</v>
      </c>
      <c r="Z46" s="20">
        <f t="shared" si="73"/>
        <v>2629347.7716401056</v>
      </c>
    </row>
    <row r="47" spans="2:26" x14ac:dyDescent="0.25">
      <c r="B47" s="2" t="s">
        <v>30</v>
      </c>
      <c r="C47" s="56">
        <f>Premissas!C36</f>
        <v>10</v>
      </c>
      <c r="F47" s="18"/>
      <c r="G47" s="20">
        <f>G11*($C47*G$6)</f>
        <v>1040000</v>
      </c>
      <c r="H47" s="20">
        <f t="shared" ref="H47:Z47" si="74">H11*($C47*H$6)</f>
        <v>1135680</v>
      </c>
      <c r="I47" s="20">
        <f t="shared" si="74"/>
        <v>1240162.5600000003</v>
      </c>
      <c r="J47" s="20">
        <f t="shared" si="74"/>
        <v>1354257.5155200001</v>
      </c>
      <c r="K47" s="20">
        <f t="shared" si="74"/>
        <v>1478849.2069478403</v>
      </c>
      <c r="L47" s="20">
        <f t="shared" si="74"/>
        <v>1614903.3339870416</v>
      </c>
      <c r="M47" s="20">
        <f t="shared" si="74"/>
        <v>1763474.4407138494</v>
      </c>
      <c r="N47" s="20">
        <f t="shared" si="74"/>
        <v>1925714.0892595239</v>
      </c>
      <c r="O47" s="20">
        <f t="shared" si="74"/>
        <v>2102879.7854714002</v>
      </c>
      <c r="P47" s="20">
        <f t="shared" si="74"/>
        <v>2296344.7257347694</v>
      </c>
      <c r="Q47" s="20">
        <f t="shared" si="74"/>
        <v>2507608.4405023679</v>
      </c>
      <c r="R47" s="20">
        <f t="shared" si="74"/>
        <v>2738308.4170285864</v>
      </c>
      <c r="S47" s="20">
        <f t="shared" si="74"/>
        <v>2990232.7913952167</v>
      </c>
      <c r="T47" s="20">
        <f t="shared" si="74"/>
        <v>3265334.2082035765</v>
      </c>
      <c r="U47" s="20">
        <f t="shared" si="74"/>
        <v>3565744.9553583059</v>
      </c>
      <c r="V47" s="20">
        <f t="shared" si="74"/>
        <v>3893793.4912512708</v>
      </c>
      <c r="W47" s="20">
        <f t="shared" si="74"/>
        <v>4252022.4924463881</v>
      </c>
      <c r="X47" s="20">
        <f t="shared" si="74"/>
        <v>4643208.5617514569</v>
      </c>
      <c r="Y47" s="20">
        <f t="shared" si="74"/>
        <v>5070383.7494325899</v>
      </c>
      <c r="Z47" s="20">
        <f t="shared" si="74"/>
        <v>5536859.0543803889</v>
      </c>
    </row>
    <row r="48" spans="2:26" x14ac:dyDescent="0.25">
      <c r="B48" t="s">
        <v>26</v>
      </c>
      <c r="C48" s="17"/>
      <c r="F48" s="18"/>
      <c r="G48" s="14">
        <f>SUM(G49:G50)</f>
        <v>1716000</v>
      </c>
      <c r="H48" s="14">
        <f t="shared" ref="H48:Z48" si="75">SUM(H49:H50)</f>
        <v>1827904.0000000002</v>
      </c>
      <c r="I48" s="14">
        <f t="shared" si="75"/>
        <v>1948264.4480000003</v>
      </c>
      <c r="J48" s="14">
        <f t="shared" si="75"/>
        <v>2077785.7884160001</v>
      </c>
      <c r="K48" s="14">
        <f t="shared" si="75"/>
        <v>2217234.3325982727</v>
      </c>
      <c r="L48" s="14">
        <f t="shared" si="75"/>
        <v>2367443.8329112339</v>
      </c>
      <c r="M48" s="14">
        <f t="shared" si="75"/>
        <v>2529321.5649215439</v>
      </c>
      <c r="N48" s="14">
        <f t="shared" si="75"/>
        <v>2703854.9642521022</v>
      </c>
      <c r="O48" s="14">
        <f t="shared" si="75"/>
        <v>2892118.8689353829</v>
      </c>
      <c r="P48" s="14">
        <f t="shared" si="75"/>
        <v>3095283.4227684084</v>
      </c>
      <c r="Q48" s="14">
        <f t="shared" si="75"/>
        <v>3314622.7002697112</v>
      </c>
      <c r="R48" s="14">
        <f t="shared" si="75"/>
        <v>3551524.1194053981</v>
      </c>
      <c r="S48" s="14">
        <f t="shared" si="75"/>
        <v>3807498.7143300045</v>
      </c>
      <c r="T48" s="14">
        <f t="shared" si="75"/>
        <v>4084192.3470252454</v>
      </c>
      <c r="U48" s="14">
        <f t="shared" si="75"/>
        <v>4383397.9439675249</v>
      </c>
      <c r="V48" s="14">
        <f t="shared" si="75"/>
        <v>4707068.8518691314</v>
      </c>
      <c r="W48" s="14">
        <f t="shared" si="75"/>
        <v>5057333.4151799502</v>
      </c>
      <c r="X48" s="14">
        <f t="shared" si="75"/>
        <v>5436510.8874729183</v>
      </c>
      <c r="Y48" s="14">
        <f t="shared" si="75"/>
        <v>5847128.7991406955</v>
      </c>
      <c r="Z48" s="14">
        <f t="shared" si="75"/>
        <v>6291941.9150827201</v>
      </c>
    </row>
    <row r="49" spans="2:26" x14ac:dyDescent="0.25">
      <c r="B49" s="2" t="s">
        <v>29</v>
      </c>
      <c r="C49" s="56">
        <f>Premissas!C38</f>
        <v>850000</v>
      </c>
      <c r="F49" s="18"/>
      <c r="G49" s="20">
        <f>$C49*G$6</f>
        <v>884000</v>
      </c>
      <c r="H49" s="20">
        <f t="shared" ref="H49:Z49" si="76">$C49*H$6</f>
        <v>919360.00000000012</v>
      </c>
      <c r="I49" s="20">
        <f t="shared" si="76"/>
        <v>956134.40000000002</v>
      </c>
      <c r="J49" s="20">
        <f t="shared" si="76"/>
        <v>994379.77600000019</v>
      </c>
      <c r="K49" s="20">
        <f t="shared" si="76"/>
        <v>1034154.9670400003</v>
      </c>
      <c r="L49" s="20">
        <f t="shared" si="76"/>
        <v>1075521.1657216004</v>
      </c>
      <c r="M49" s="20">
        <f t="shared" si="76"/>
        <v>1118542.0123504642</v>
      </c>
      <c r="N49" s="20">
        <f t="shared" si="76"/>
        <v>1163283.6928444831</v>
      </c>
      <c r="O49" s="20">
        <f t="shared" si="76"/>
        <v>1209815.0405582625</v>
      </c>
      <c r="P49" s="20">
        <f t="shared" si="76"/>
        <v>1258207.642180593</v>
      </c>
      <c r="Q49" s="20">
        <f t="shared" si="76"/>
        <v>1308535.9478678165</v>
      </c>
      <c r="R49" s="20">
        <f t="shared" si="76"/>
        <v>1360877.3857825294</v>
      </c>
      <c r="S49" s="20">
        <f t="shared" si="76"/>
        <v>1415312.4812138306</v>
      </c>
      <c r="T49" s="20">
        <f t="shared" si="76"/>
        <v>1471924.9804623839</v>
      </c>
      <c r="U49" s="20">
        <f t="shared" si="76"/>
        <v>1530801.9796808793</v>
      </c>
      <c r="V49" s="20">
        <f t="shared" si="76"/>
        <v>1592034.0588681146</v>
      </c>
      <c r="W49" s="20">
        <f t="shared" si="76"/>
        <v>1655715.4212228393</v>
      </c>
      <c r="X49" s="20">
        <f t="shared" si="76"/>
        <v>1721944.038071753</v>
      </c>
      <c r="Y49" s="20">
        <f t="shared" si="76"/>
        <v>1790821.799594623</v>
      </c>
      <c r="Z49" s="20">
        <f t="shared" si="76"/>
        <v>1862454.671578408</v>
      </c>
    </row>
    <row r="50" spans="2:26" x14ac:dyDescent="0.25">
      <c r="B50" s="2" t="s">
        <v>30</v>
      </c>
      <c r="C50" s="56">
        <f>Premissas!C39</f>
        <v>10</v>
      </c>
      <c r="F50" s="18"/>
      <c r="G50" s="20">
        <f>G13*($C50*G$6)</f>
        <v>832000</v>
      </c>
      <c r="H50" s="20">
        <f t="shared" ref="H50:Z50" si="77">H13*($C50*H$6)</f>
        <v>908544.00000000012</v>
      </c>
      <c r="I50" s="20">
        <f t="shared" si="77"/>
        <v>992130.04800000018</v>
      </c>
      <c r="J50" s="20">
        <f t="shared" si="77"/>
        <v>1083406.012416</v>
      </c>
      <c r="K50" s="20">
        <f t="shared" si="77"/>
        <v>1183079.3655582722</v>
      </c>
      <c r="L50" s="20">
        <f t="shared" si="77"/>
        <v>1291922.6671896335</v>
      </c>
      <c r="M50" s="20">
        <f t="shared" si="77"/>
        <v>1410779.5525710797</v>
      </c>
      <c r="N50" s="20">
        <f t="shared" si="77"/>
        <v>1540571.2714076191</v>
      </c>
      <c r="O50" s="20">
        <f t="shared" si="77"/>
        <v>1682303.8283771204</v>
      </c>
      <c r="P50" s="20">
        <f t="shared" si="77"/>
        <v>1837075.7805878157</v>
      </c>
      <c r="Q50" s="20">
        <f t="shared" si="77"/>
        <v>2006086.7524018944</v>
      </c>
      <c r="R50" s="20">
        <f t="shared" si="77"/>
        <v>2190646.733622869</v>
      </c>
      <c r="S50" s="20">
        <f t="shared" si="77"/>
        <v>2392186.2331161737</v>
      </c>
      <c r="T50" s="20">
        <f t="shared" si="77"/>
        <v>2612267.3665628615</v>
      </c>
      <c r="U50" s="20">
        <f t="shared" si="77"/>
        <v>2852595.9642866454</v>
      </c>
      <c r="V50" s="20">
        <f t="shared" si="77"/>
        <v>3115034.7930010171</v>
      </c>
      <c r="W50" s="20">
        <f t="shared" si="77"/>
        <v>3401617.9939571107</v>
      </c>
      <c r="X50" s="20">
        <f t="shared" si="77"/>
        <v>3714566.8494011657</v>
      </c>
      <c r="Y50" s="20">
        <f t="shared" si="77"/>
        <v>4056306.999546072</v>
      </c>
      <c r="Z50" s="20">
        <f t="shared" si="77"/>
        <v>4429487.2435043119</v>
      </c>
    </row>
    <row r="51" spans="2:26" x14ac:dyDescent="0.25">
      <c r="B51" t="s">
        <v>27</v>
      </c>
      <c r="C51" s="17"/>
      <c r="F51" s="18"/>
      <c r="G51" s="14">
        <f>SUM(G52:G53)</f>
        <v>1508000</v>
      </c>
      <c r="H51" s="14">
        <f t="shared" ref="H51:Z51" si="78">SUM(H52:H53)</f>
        <v>1608880</v>
      </c>
      <c r="I51" s="14">
        <f t="shared" si="78"/>
        <v>1717526.7200000002</v>
      </c>
      <c r="J51" s="14">
        <f t="shared" si="78"/>
        <v>1834594.1286400002</v>
      </c>
      <c r="K51" s="14">
        <f t="shared" si="78"/>
        <v>1960793.9368908806</v>
      </c>
      <c r="L51" s="14">
        <f t="shared" si="78"/>
        <v>2096900.8134374814</v>
      </c>
      <c r="M51" s="14">
        <f t="shared" si="78"/>
        <v>2243758.0760004753</v>
      </c>
      <c r="N51" s="14">
        <f t="shared" si="78"/>
        <v>2402283.9022283349</v>
      </c>
      <c r="O51" s="14">
        <f t="shared" si="78"/>
        <v>2573478.1077985903</v>
      </c>
      <c r="P51" s="14">
        <f t="shared" si="78"/>
        <v>2758429.5437439186</v>
      </c>
      <c r="Q51" s="14">
        <f t="shared" si="78"/>
        <v>2958324.1697973311</v>
      </c>
      <c r="R51" s="14">
        <f t="shared" si="78"/>
        <v>3174453.8657688173</v>
      </c>
      <c r="S51" s="14">
        <f t="shared" si="78"/>
        <v>3408226.048663686</v>
      </c>
      <c r="T51" s="14">
        <f t="shared" si="78"/>
        <v>3661174.169474646</v>
      </c>
      <c r="U51" s="14">
        <f t="shared" si="78"/>
        <v>3934969.170373572</v>
      </c>
      <c r="V51" s="14">
        <f t="shared" si="78"/>
        <v>4231431.9904474895</v>
      </c>
      <c r="W51" s="14">
        <f t="shared" si="78"/>
        <v>4552547.2162241889</v>
      </c>
      <c r="X51" s="14">
        <f t="shared" si="78"/>
        <v>4900477.9820785671</v>
      </c>
      <c r="Y51" s="14">
        <f t="shared" si="78"/>
        <v>5277582.2352700159</v>
      </c>
      <c r="Z51" s="14">
        <f t="shared" si="78"/>
        <v>5686430.4909086879</v>
      </c>
    </row>
    <row r="52" spans="2:26" x14ac:dyDescent="0.25">
      <c r="B52" s="2" t="s">
        <v>29</v>
      </c>
      <c r="C52" s="56">
        <f>Premissas!C41</f>
        <v>700000</v>
      </c>
      <c r="F52" s="18"/>
      <c r="G52" s="20">
        <f>$C52*G$6</f>
        <v>728000</v>
      </c>
      <c r="H52" s="20">
        <f t="shared" ref="H52:Z52" si="79">$C52*H$6</f>
        <v>757120.00000000012</v>
      </c>
      <c r="I52" s="20">
        <f t="shared" si="79"/>
        <v>787404.80000000005</v>
      </c>
      <c r="J52" s="20">
        <f t="shared" si="79"/>
        <v>818900.9920000002</v>
      </c>
      <c r="K52" s="20">
        <f t="shared" si="79"/>
        <v>851657.03168000025</v>
      </c>
      <c r="L52" s="20">
        <f t="shared" si="79"/>
        <v>885723.31294720026</v>
      </c>
      <c r="M52" s="20">
        <f t="shared" si="79"/>
        <v>921152.24546508817</v>
      </c>
      <c r="N52" s="20">
        <f t="shared" si="79"/>
        <v>957998.33528369188</v>
      </c>
      <c r="O52" s="20">
        <f t="shared" si="79"/>
        <v>996318.26869503967</v>
      </c>
      <c r="P52" s="20">
        <f t="shared" si="79"/>
        <v>1036170.9994428412</v>
      </c>
      <c r="Q52" s="20">
        <f t="shared" si="79"/>
        <v>1077617.8394205547</v>
      </c>
      <c r="R52" s="20">
        <f t="shared" si="79"/>
        <v>1120722.5529973772</v>
      </c>
      <c r="S52" s="20">
        <f t="shared" si="79"/>
        <v>1165551.4551172724</v>
      </c>
      <c r="T52" s="20">
        <f t="shared" si="79"/>
        <v>1212173.5133219631</v>
      </c>
      <c r="U52" s="20">
        <f t="shared" si="79"/>
        <v>1260660.4538548416</v>
      </c>
      <c r="V52" s="20">
        <f t="shared" si="79"/>
        <v>1311086.8720090357</v>
      </c>
      <c r="W52" s="20">
        <f t="shared" si="79"/>
        <v>1363530.3468893971</v>
      </c>
      <c r="X52" s="20">
        <f t="shared" si="79"/>
        <v>1418071.5607649731</v>
      </c>
      <c r="Y52" s="20">
        <f t="shared" si="79"/>
        <v>1474794.4231955721</v>
      </c>
      <c r="Z52" s="20">
        <f t="shared" si="79"/>
        <v>1533786.2001233948</v>
      </c>
    </row>
    <row r="53" spans="2:26" x14ac:dyDescent="0.25">
      <c r="B53" s="2" t="s">
        <v>30</v>
      </c>
      <c r="C53" s="56">
        <f>Premissas!C42</f>
        <v>10</v>
      </c>
      <c r="F53" s="18"/>
      <c r="G53" s="20">
        <f>G15*($C53*G$6)</f>
        <v>780000</v>
      </c>
      <c r="H53" s="20">
        <f t="shared" ref="H53:Z53" si="80">H15*($C53*H$6)</f>
        <v>851760</v>
      </c>
      <c r="I53" s="20">
        <f t="shared" si="80"/>
        <v>930121.92000000016</v>
      </c>
      <c r="J53" s="20">
        <f t="shared" si="80"/>
        <v>1015693.1366400002</v>
      </c>
      <c r="K53" s="20">
        <f t="shared" si="80"/>
        <v>1109136.9052108803</v>
      </c>
      <c r="L53" s="20">
        <f t="shared" si="80"/>
        <v>1211177.5004902813</v>
      </c>
      <c r="M53" s="20">
        <f t="shared" si="80"/>
        <v>1322605.8305353872</v>
      </c>
      <c r="N53" s="20">
        <f t="shared" si="80"/>
        <v>1444285.5669446429</v>
      </c>
      <c r="O53" s="20">
        <f t="shared" si="80"/>
        <v>1577159.8391035504</v>
      </c>
      <c r="P53" s="20">
        <f t="shared" si="80"/>
        <v>1722258.5443010773</v>
      </c>
      <c r="Q53" s="20">
        <f t="shared" si="80"/>
        <v>1880706.3303767762</v>
      </c>
      <c r="R53" s="20">
        <f t="shared" si="80"/>
        <v>2053731.31277144</v>
      </c>
      <c r="S53" s="20">
        <f t="shared" si="80"/>
        <v>2242674.5935464134</v>
      </c>
      <c r="T53" s="20">
        <f t="shared" si="80"/>
        <v>2449000.6561526828</v>
      </c>
      <c r="U53" s="20">
        <f t="shared" si="80"/>
        <v>2674308.7165187304</v>
      </c>
      <c r="V53" s="20">
        <f t="shared" si="80"/>
        <v>2920345.1184384539</v>
      </c>
      <c r="W53" s="20">
        <f t="shared" si="80"/>
        <v>3189016.8693347918</v>
      </c>
      <c r="X53" s="20">
        <f t="shared" si="80"/>
        <v>3482406.4213135936</v>
      </c>
      <c r="Y53" s="20">
        <f t="shared" si="80"/>
        <v>3802787.8120744443</v>
      </c>
      <c r="Z53" s="20">
        <f t="shared" si="80"/>
        <v>4152644.2907852936</v>
      </c>
    </row>
    <row r="54" spans="2:26" x14ac:dyDescent="0.25">
      <c r="B54" t="s">
        <v>28</v>
      </c>
      <c r="C54" s="17"/>
      <c r="F54" s="18"/>
      <c r="G54" s="14">
        <f>SUM(G55:G56)</f>
        <v>780000</v>
      </c>
      <c r="H54" s="14">
        <f t="shared" ref="H54:Z54" si="81">SUM(H55:H56)</f>
        <v>824720.00000000012</v>
      </c>
      <c r="I54" s="14">
        <f t="shared" si="81"/>
        <v>872472.64000000013</v>
      </c>
      <c r="J54" s="14">
        <f t="shared" si="81"/>
        <v>923493.65888000024</v>
      </c>
      <c r="K54" s="14">
        <f t="shared" si="81"/>
        <v>978038.7529369602</v>
      </c>
      <c r="L54" s="14">
        <f t="shared" si="81"/>
        <v>1036385.3427447607</v>
      </c>
      <c r="M54" s="14">
        <f t="shared" si="81"/>
        <v>1098834.4997963826</v>
      </c>
      <c r="N54" s="14">
        <f t="shared" si="81"/>
        <v>1165713.047517518</v>
      </c>
      <c r="O54" s="14">
        <f t="shared" si="81"/>
        <v>1237375.8525785925</v>
      </c>
      <c r="P54" s="14">
        <f t="shared" si="81"/>
        <v>1314208.3238928646</v>
      </c>
      <c r="Q54" s="14">
        <f t="shared" si="81"/>
        <v>1396629.1382831312</v>
      </c>
      <c r="R54" s="14">
        <f t="shared" si="81"/>
        <v>1485093.2135409876</v>
      </c>
      <c r="S54" s="14">
        <f t="shared" si="81"/>
        <v>1580094.9515039986</v>
      </c>
      <c r="T54" s="14">
        <f t="shared" si="81"/>
        <v>1682171.7758522965</v>
      </c>
      <c r="U54" s="14">
        <f t="shared" si="81"/>
        <v>1791907.9915930349</v>
      </c>
      <c r="V54" s="14">
        <f t="shared" si="81"/>
        <v>1909938.9956764146</v>
      </c>
      <c r="W54" s="14">
        <f t="shared" si="81"/>
        <v>2036955.8708897377</v>
      </c>
      <c r="X54" s="14">
        <f t="shared" si="81"/>
        <v>2173710.3981271307</v>
      </c>
      <c r="Y54" s="14">
        <f t="shared" si="81"/>
        <v>2321020.5253549847</v>
      </c>
      <c r="Z54" s="14">
        <f t="shared" si="81"/>
        <v>2479776.335111808</v>
      </c>
    </row>
    <row r="55" spans="2:26" x14ac:dyDescent="0.25">
      <c r="B55" s="2" t="s">
        <v>29</v>
      </c>
      <c r="C55" s="56">
        <f>Premissas!C44</f>
        <v>500000</v>
      </c>
      <c r="F55" s="19"/>
      <c r="G55" s="20">
        <f>$C55*G$6</f>
        <v>520000</v>
      </c>
      <c r="H55" s="20">
        <f t="shared" ref="H55:Z55" si="82">$C55*H$6</f>
        <v>540800.00000000012</v>
      </c>
      <c r="I55" s="20">
        <f t="shared" si="82"/>
        <v>562432</v>
      </c>
      <c r="J55" s="20">
        <f t="shared" si="82"/>
        <v>584929.28000000014</v>
      </c>
      <c r="K55" s="20">
        <f t="shared" si="82"/>
        <v>608326.45120000013</v>
      </c>
      <c r="L55" s="20">
        <f t="shared" si="82"/>
        <v>632659.50924800022</v>
      </c>
      <c r="M55" s="20">
        <f t="shared" si="82"/>
        <v>657965.88961792015</v>
      </c>
      <c r="N55" s="20">
        <f t="shared" si="82"/>
        <v>684284.52520263707</v>
      </c>
      <c r="O55" s="20">
        <f t="shared" si="82"/>
        <v>711655.90621074254</v>
      </c>
      <c r="P55" s="20">
        <f t="shared" si="82"/>
        <v>740122.14245917229</v>
      </c>
      <c r="Q55" s="20">
        <f t="shared" si="82"/>
        <v>769727.02815753908</v>
      </c>
      <c r="R55" s="20">
        <f t="shared" si="82"/>
        <v>800516.10928384087</v>
      </c>
      <c r="S55" s="20">
        <f t="shared" si="82"/>
        <v>832536.75365519454</v>
      </c>
      <c r="T55" s="20">
        <f t="shared" si="82"/>
        <v>865838.22380140226</v>
      </c>
      <c r="U55" s="20">
        <f t="shared" si="82"/>
        <v>900471.75275345834</v>
      </c>
      <c r="V55" s="20">
        <f t="shared" si="82"/>
        <v>936490.62286359689</v>
      </c>
      <c r="W55" s="20">
        <f t="shared" si="82"/>
        <v>973950.24777814082</v>
      </c>
      <c r="X55" s="20">
        <f t="shared" si="82"/>
        <v>1012908.2576892665</v>
      </c>
      <c r="Y55" s="20">
        <f t="shared" si="82"/>
        <v>1053424.5879968372</v>
      </c>
      <c r="Z55" s="20">
        <f t="shared" si="82"/>
        <v>1095561.5715167106</v>
      </c>
    </row>
    <row r="56" spans="2:26" x14ac:dyDescent="0.25">
      <c r="B56" s="2" t="s">
        <v>30</v>
      </c>
      <c r="C56" s="56">
        <f>Premissas!C45</f>
        <v>10</v>
      </c>
      <c r="F56" s="19"/>
      <c r="G56" s="20">
        <f>G17*($C56*G$6)</f>
        <v>260000</v>
      </c>
      <c r="H56" s="20">
        <f t="shared" ref="H56:Z56" si="83">H17*($C56*H$6)</f>
        <v>283920</v>
      </c>
      <c r="I56" s="20">
        <f t="shared" si="83"/>
        <v>310040.64000000007</v>
      </c>
      <c r="J56" s="20">
        <f t="shared" si="83"/>
        <v>338564.37888000003</v>
      </c>
      <c r="K56" s="20">
        <f t="shared" si="83"/>
        <v>369712.30173696007</v>
      </c>
      <c r="L56" s="20">
        <f t="shared" si="83"/>
        <v>403725.8334967604</v>
      </c>
      <c r="M56" s="20">
        <f t="shared" si="83"/>
        <v>440868.61017846235</v>
      </c>
      <c r="N56" s="20">
        <f t="shared" si="83"/>
        <v>481428.52231488097</v>
      </c>
      <c r="O56" s="20">
        <f t="shared" si="83"/>
        <v>525719.94636785006</v>
      </c>
      <c r="P56" s="20">
        <f t="shared" si="83"/>
        <v>574086.18143369234</v>
      </c>
      <c r="Q56" s="20">
        <f t="shared" si="83"/>
        <v>626902.11012559198</v>
      </c>
      <c r="R56" s="20">
        <f t="shared" si="83"/>
        <v>684577.1042571466</v>
      </c>
      <c r="S56" s="20">
        <f t="shared" si="83"/>
        <v>747558.19784880418</v>
      </c>
      <c r="T56" s="20">
        <f t="shared" si="83"/>
        <v>816333.55205089413</v>
      </c>
      <c r="U56" s="20">
        <f t="shared" si="83"/>
        <v>891436.23883957649</v>
      </c>
      <c r="V56" s="20">
        <f t="shared" si="83"/>
        <v>973448.37281281769</v>
      </c>
      <c r="W56" s="20">
        <f t="shared" si="83"/>
        <v>1063005.623111597</v>
      </c>
      <c r="X56" s="20">
        <f t="shared" si="83"/>
        <v>1160802.1404378642</v>
      </c>
      <c r="Y56" s="20">
        <f t="shared" si="83"/>
        <v>1267595.9373581475</v>
      </c>
      <c r="Z56" s="20">
        <f t="shared" si="83"/>
        <v>1384214.7635950972</v>
      </c>
    </row>
    <row r="58" spans="2:26" x14ac:dyDescent="0.25">
      <c r="B58" s="3" t="s">
        <v>31</v>
      </c>
      <c r="C58" s="3"/>
      <c r="D58" s="3"/>
      <c r="E58" s="3"/>
      <c r="F58" s="15">
        <f>F41+F43</f>
        <v>0</v>
      </c>
      <c r="G58" s="15">
        <f t="shared" ref="G58:Z58" si="84">G41+G43</f>
        <v>8690240</v>
      </c>
      <c r="H58" s="15">
        <f t="shared" si="84"/>
        <v>9665502.0800000038</v>
      </c>
      <c r="I58" s="15">
        <f t="shared" si="84"/>
        <v>10737518.671360005</v>
      </c>
      <c r="J58" s="15">
        <f t="shared" si="84"/>
        <v>11915472.405125126</v>
      </c>
      <c r="K58" s="15">
        <f t="shared" si="84"/>
        <v>13209401.963036638</v>
      </c>
      <c r="L58" s="15">
        <f t="shared" si="84"/>
        <v>14630281.284141606</v>
      </c>
      <c r="M58" s="15">
        <f t="shared" si="84"/>
        <v>16190106.076408459</v>
      </c>
      <c r="N58" s="15">
        <f t="shared" si="84"/>
        <v>17901988.306128889</v>
      </c>
      <c r="O58" s="15">
        <f t="shared" si="84"/>
        <v>19780259.399811242</v>
      </c>
      <c r="P58" s="15">
        <f t="shared" si="84"/>
        <v>21840582.960893117</v>
      </c>
      <c r="Q58" s="15">
        <f t="shared" si="84"/>
        <v>24100077.87744648</v>
      </c>
      <c r="R58" s="15">
        <f t="shared" si="84"/>
        <v>26577452.777688809</v>
      </c>
      <c r="S58" s="15">
        <f t="shared" si="84"/>
        <v>29293152.878174119</v>
      </c>
      <c r="T58" s="15">
        <f t="shared" si="84"/>
        <v>32269520.365701601</v>
      </c>
      <c r="U58" s="15">
        <f t="shared" si="84"/>
        <v>35530969.55899103</v>
      </c>
      <c r="V58" s="15">
        <f t="shared" si="84"/>
        <v>39104178.21084886</v>
      </c>
      <c r="W58" s="15">
        <f t="shared" si="84"/>
        <v>43018296.43677485</v>
      </c>
      <c r="X58" s="15">
        <f t="shared" si="84"/>
        <v>47305174.892707154</v>
      </c>
      <c r="Y58" s="15">
        <f t="shared" si="84"/>
        <v>51999613.973935187</v>
      </c>
      <c r="Z58" s="15">
        <f t="shared" si="84"/>
        <v>57139635.97028017</v>
      </c>
    </row>
    <row r="60" spans="2:26" x14ac:dyDescent="0.25">
      <c r="B60" s="3" t="s">
        <v>32</v>
      </c>
      <c r="C60" s="3"/>
      <c r="D60" s="3"/>
      <c r="E60" s="3"/>
      <c r="F60" s="15">
        <f>F62+F65+F68+F71</f>
        <v>0</v>
      </c>
      <c r="G60" s="15">
        <f>-SUM(G62:G64)</f>
        <v>-7280000</v>
      </c>
      <c r="H60" s="15">
        <f t="shared" ref="H60:Z60" si="85">-SUM(H62:H64)</f>
        <v>-7571200.0000000009</v>
      </c>
      <c r="I60" s="15">
        <f t="shared" si="85"/>
        <v>-7874048</v>
      </c>
      <c r="J60" s="15">
        <f t="shared" si="85"/>
        <v>-8189009.9200000018</v>
      </c>
      <c r="K60" s="15">
        <f t="shared" si="85"/>
        <v>-8516570.316800002</v>
      </c>
      <c r="L60" s="15">
        <f t="shared" si="85"/>
        <v>-8857233.1294720024</v>
      </c>
      <c r="M60" s="15">
        <f t="shared" si="85"/>
        <v>-9211522.4546508826</v>
      </c>
      <c r="N60" s="15">
        <f t="shared" si="85"/>
        <v>-9579983.3528369181</v>
      </c>
      <c r="O60" s="15">
        <f t="shared" si="85"/>
        <v>-9963182.6869503967</v>
      </c>
      <c r="P60" s="15">
        <f t="shared" si="85"/>
        <v>-10361709.994428411</v>
      </c>
      <c r="Q60" s="15">
        <f t="shared" si="85"/>
        <v>-10776178.394205546</v>
      </c>
      <c r="R60" s="15">
        <f t="shared" si="85"/>
        <v>-11207225.529973773</v>
      </c>
      <c r="S60" s="15">
        <f t="shared" si="85"/>
        <v>-11655514.551172724</v>
      </c>
      <c r="T60" s="15">
        <f t="shared" si="85"/>
        <v>-12121735.133219633</v>
      </c>
      <c r="U60" s="15">
        <f t="shared" si="85"/>
        <v>-12606604.538548416</v>
      </c>
      <c r="V60" s="15">
        <f t="shared" si="85"/>
        <v>-13110868.720090358</v>
      </c>
      <c r="W60" s="15">
        <f t="shared" si="85"/>
        <v>-13635303.468893971</v>
      </c>
      <c r="X60" s="15">
        <f t="shared" si="85"/>
        <v>-14180715.607649731</v>
      </c>
      <c r="Y60" s="15">
        <f t="shared" si="85"/>
        <v>-14747944.231955718</v>
      </c>
      <c r="Z60" s="15">
        <f t="shared" si="85"/>
        <v>-15337862.001233948</v>
      </c>
    </row>
    <row r="62" spans="2:26" x14ac:dyDescent="0.25">
      <c r="B62" t="s">
        <v>33</v>
      </c>
      <c r="C62" s="56">
        <f>Premissas!C48</f>
        <v>3500000</v>
      </c>
      <c r="F62" s="19"/>
      <c r="G62" s="21">
        <f>$C62*G$6</f>
        <v>3640000</v>
      </c>
      <c r="H62" s="21">
        <f t="shared" ref="H62:Z64" si="86">$C62*H$6</f>
        <v>3785600.0000000005</v>
      </c>
      <c r="I62" s="21">
        <f t="shared" si="86"/>
        <v>3937024.0000000005</v>
      </c>
      <c r="J62" s="21">
        <f t="shared" si="86"/>
        <v>4094504.9600000009</v>
      </c>
      <c r="K62" s="21">
        <f t="shared" si="86"/>
        <v>4258285.158400001</v>
      </c>
      <c r="L62" s="21">
        <f t="shared" si="86"/>
        <v>4428616.5647360012</v>
      </c>
      <c r="M62" s="21">
        <f t="shared" si="86"/>
        <v>4605761.2273254413</v>
      </c>
      <c r="N62" s="21">
        <f t="shared" si="86"/>
        <v>4789991.676418459</v>
      </c>
      <c r="O62" s="21">
        <f t="shared" si="86"/>
        <v>4981591.3434751984</v>
      </c>
      <c r="P62" s="21">
        <f t="shared" si="86"/>
        <v>5180854.9972142065</v>
      </c>
      <c r="Q62" s="21">
        <f t="shared" si="86"/>
        <v>5388089.1971027739</v>
      </c>
      <c r="R62" s="21">
        <f t="shared" si="86"/>
        <v>5603612.7649868857</v>
      </c>
      <c r="S62" s="21">
        <f t="shared" si="86"/>
        <v>5827757.275586362</v>
      </c>
      <c r="T62" s="21">
        <f t="shared" si="86"/>
        <v>6060867.5666098157</v>
      </c>
      <c r="U62" s="21">
        <f t="shared" si="86"/>
        <v>6303302.2692742087</v>
      </c>
      <c r="V62" s="21">
        <f t="shared" si="86"/>
        <v>6555434.3600451779</v>
      </c>
      <c r="W62" s="21">
        <f t="shared" si="86"/>
        <v>6817651.7344469856</v>
      </c>
      <c r="X62" s="21">
        <f t="shared" si="86"/>
        <v>7090357.8038248653</v>
      </c>
      <c r="Y62" s="21">
        <f t="shared" si="86"/>
        <v>7373972.1159778601</v>
      </c>
      <c r="Z62" s="21">
        <f t="shared" si="86"/>
        <v>7668931.0006169742</v>
      </c>
    </row>
    <row r="63" spans="2:26" x14ac:dyDescent="0.25">
      <c r="B63" t="s">
        <v>34</v>
      </c>
      <c r="C63" s="56">
        <f>Premissas!C49</f>
        <v>2500000</v>
      </c>
      <c r="F63" s="19"/>
      <c r="G63" s="21">
        <f>$C63*G$6</f>
        <v>2600000</v>
      </c>
      <c r="H63" s="21">
        <f t="shared" si="86"/>
        <v>2704000.0000000005</v>
      </c>
      <c r="I63" s="21">
        <f t="shared" si="86"/>
        <v>2812160</v>
      </c>
      <c r="J63" s="21">
        <f t="shared" si="86"/>
        <v>2924646.4000000004</v>
      </c>
      <c r="K63" s="21">
        <f t="shared" si="86"/>
        <v>3041632.256000001</v>
      </c>
      <c r="L63" s="21">
        <f t="shared" si="86"/>
        <v>3163297.546240001</v>
      </c>
      <c r="M63" s="21">
        <f t="shared" si="86"/>
        <v>3289829.4480896005</v>
      </c>
      <c r="N63" s="21">
        <f t="shared" si="86"/>
        <v>3421422.6260131854</v>
      </c>
      <c r="O63" s="21">
        <f t="shared" si="86"/>
        <v>3558279.5310537131</v>
      </c>
      <c r="P63" s="21">
        <f t="shared" si="86"/>
        <v>3700610.7122958614</v>
      </c>
      <c r="Q63" s="21">
        <f t="shared" si="86"/>
        <v>3848635.1407876955</v>
      </c>
      <c r="R63" s="21">
        <f t="shared" si="86"/>
        <v>4002580.5464192042</v>
      </c>
      <c r="S63" s="21">
        <f t="shared" si="86"/>
        <v>4162683.7682759725</v>
      </c>
      <c r="T63" s="21">
        <f t="shared" si="86"/>
        <v>4329191.1190070119</v>
      </c>
      <c r="U63" s="21">
        <f t="shared" si="86"/>
        <v>4502358.7637672918</v>
      </c>
      <c r="V63" s="21">
        <f t="shared" si="86"/>
        <v>4682453.1143179843</v>
      </c>
      <c r="W63" s="21">
        <f t="shared" si="86"/>
        <v>4869751.2388907038</v>
      </c>
      <c r="X63" s="21">
        <f t="shared" si="86"/>
        <v>5064541.2884463323</v>
      </c>
      <c r="Y63" s="21">
        <f t="shared" si="86"/>
        <v>5267122.9399841856</v>
      </c>
      <c r="Z63" s="21">
        <f t="shared" si="86"/>
        <v>5477807.8575835535</v>
      </c>
    </row>
    <row r="64" spans="2:26" x14ac:dyDescent="0.25">
      <c r="B64" t="s">
        <v>35</v>
      </c>
      <c r="C64" s="56">
        <f>Premissas!C50</f>
        <v>1000000</v>
      </c>
      <c r="F64" s="19"/>
      <c r="G64" s="21">
        <f>$C64*G$6</f>
        <v>1040000</v>
      </c>
      <c r="H64" s="21">
        <f t="shared" si="86"/>
        <v>1081600.0000000002</v>
      </c>
      <c r="I64" s="21">
        <f t="shared" si="86"/>
        <v>1124864</v>
      </c>
      <c r="J64" s="21">
        <f t="shared" si="86"/>
        <v>1169858.5600000003</v>
      </c>
      <c r="K64" s="21">
        <f t="shared" si="86"/>
        <v>1216652.9024000003</v>
      </c>
      <c r="L64" s="21">
        <f t="shared" si="86"/>
        <v>1265319.0184960004</v>
      </c>
      <c r="M64" s="21">
        <f t="shared" si="86"/>
        <v>1315931.7792358403</v>
      </c>
      <c r="N64" s="21">
        <f t="shared" si="86"/>
        <v>1368569.0504052741</v>
      </c>
      <c r="O64" s="21">
        <f t="shared" si="86"/>
        <v>1423311.8124214851</v>
      </c>
      <c r="P64" s="21">
        <f t="shared" si="86"/>
        <v>1480244.2849183446</v>
      </c>
      <c r="Q64" s="21">
        <f t="shared" si="86"/>
        <v>1539454.0563150782</v>
      </c>
      <c r="R64" s="21">
        <f t="shared" si="86"/>
        <v>1601032.2185676817</v>
      </c>
      <c r="S64" s="21">
        <f t="shared" si="86"/>
        <v>1665073.5073103891</v>
      </c>
      <c r="T64" s="21">
        <f t="shared" si="86"/>
        <v>1731676.4476028045</v>
      </c>
      <c r="U64" s="21">
        <f t="shared" si="86"/>
        <v>1800943.5055069167</v>
      </c>
      <c r="V64" s="21">
        <f t="shared" si="86"/>
        <v>1872981.2457271938</v>
      </c>
      <c r="W64" s="21">
        <f t="shared" si="86"/>
        <v>1947900.4955562816</v>
      </c>
      <c r="X64" s="21">
        <f t="shared" si="86"/>
        <v>2025816.5153785329</v>
      </c>
      <c r="Y64" s="21">
        <f t="shared" si="86"/>
        <v>2106849.1759936744</v>
      </c>
      <c r="Z64" s="21">
        <f t="shared" si="86"/>
        <v>2191123.1430334211</v>
      </c>
    </row>
    <row r="66" spans="2:26" x14ac:dyDescent="0.25">
      <c r="B66" s="3" t="s">
        <v>36</v>
      </c>
      <c r="C66" s="3"/>
      <c r="D66" s="3"/>
      <c r="E66" s="3"/>
      <c r="F66" s="15">
        <f>F58+F60</f>
        <v>0</v>
      </c>
      <c r="G66" s="15">
        <f t="shared" ref="G66:Z66" si="87">G58+G60</f>
        <v>1410240</v>
      </c>
      <c r="H66" s="15">
        <f t="shared" si="87"/>
        <v>2094302.0800000029</v>
      </c>
      <c r="I66" s="15">
        <f t="shared" si="87"/>
        <v>2863470.6713600047</v>
      </c>
      <c r="J66" s="15">
        <f t="shared" si="87"/>
        <v>3726462.4851251245</v>
      </c>
      <c r="K66" s="15">
        <f t="shared" si="87"/>
        <v>4692831.6462366357</v>
      </c>
      <c r="L66" s="15">
        <f t="shared" si="87"/>
        <v>5773048.1546696033</v>
      </c>
      <c r="M66" s="15">
        <f t="shared" si="87"/>
        <v>6978583.6217575762</v>
      </c>
      <c r="N66" s="15">
        <f t="shared" si="87"/>
        <v>8322004.9532919712</v>
      </c>
      <c r="O66" s="15">
        <f t="shared" si="87"/>
        <v>9817076.712860845</v>
      </c>
      <c r="P66" s="15">
        <f t="shared" si="87"/>
        <v>11478872.966464706</v>
      </c>
      <c r="Q66" s="15">
        <f t="shared" si="87"/>
        <v>13323899.483240934</v>
      </c>
      <c r="R66" s="15">
        <f t="shared" si="87"/>
        <v>15370227.247715035</v>
      </c>
      <c r="S66" s="15">
        <f t="shared" si="87"/>
        <v>17637638.327001393</v>
      </c>
      <c r="T66" s="15">
        <f t="shared" si="87"/>
        <v>20147785.232481968</v>
      </c>
      <c r="U66" s="15">
        <f t="shared" si="87"/>
        <v>22924365.020442612</v>
      </c>
      <c r="V66" s="15">
        <f t="shared" si="87"/>
        <v>25993309.490758501</v>
      </c>
      <c r="W66" s="15">
        <f t="shared" si="87"/>
        <v>29382992.967880879</v>
      </c>
      <c r="X66" s="15">
        <f t="shared" si="87"/>
        <v>33124459.285057425</v>
      </c>
      <c r="Y66" s="15">
        <f t="shared" si="87"/>
        <v>37251669.741979465</v>
      </c>
      <c r="Z66" s="15">
        <f t="shared" si="87"/>
        <v>41801773.96904622</v>
      </c>
    </row>
    <row r="67" spans="2:26" x14ac:dyDescent="0.25">
      <c r="B67" s="32" t="s">
        <v>91</v>
      </c>
      <c r="G67" s="5">
        <f>G66/G41</f>
        <v>9.4127446897126196E-2</v>
      </c>
      <c r="H67" s="5">
        <f t="shared" ref="H67:Z67" si="88">H66/H41</f>
        <v>0.12800883229871166</v>
      </c>
      <c r="I67" s="5">
        <f t="shared" si="88"/>
        <v>0.16027681839545965</v>
      </c>
      <c r="J67" s="5">
        <f t="shared" si="88"/>
        <v>0.19100823372569573</v>
      </c>
      <c r="K67" s="5">
        <f t="shared" si="88"/>
        <v>0.22027624832592055</v>
      </c>
      <c r="L67" s="5">
        <f t="shared" si="88"/>
        <v>0.24815054794518224</v>
      </c>
      <c r="M67" s="5">
        <f t="shared" si="88"/>
        <v>0.27469749996352683</v>
      </c>
      <c r="N67" s="5">
        <f t="shared" si="88"/>
        <v>0.2999803114095691</v>
      </c>
      <c r="O67" s="5">
        <f t="shared" si="88"/>
        <v>0.32405917945341906</v>
      </c>
      <c r="P67" s="5">
        <f t="shared" si="88"/>
        <v>0.34699143473327637</v>
      </c>
      <c r="Q67" s="5">
        <f t="shared" si="88"/>
        <v>0.36883167785694976</v>
      </c>
      <c r="R67" s="5">
        <f t="shared" si="88"/>
        <v>0.38963190940330528</v>
      </c>
      <c r="S67" s="5">
        <f t="shared" si="88"/>
        <v>0.40944165373316771</v>
      </c>
      <c r="T67" s="5">
        <f t="shared" si="88"/>
        <v>0.42830807690446548</v>
      </c>
      <c r="U67" s="5">
        <f t="shared" si="88"/>
        <v>0.44627609897236814</v>
      </c>
      <c r="V67" s="5">
        <f t="shared" si="88"/>
        <v>0.46338850094179879</v>
      </c>
      <c r="W67" s="5">
        <f t="shared" si="88"/>
        <v>0.47968602662697113</v>
      </c>
      <c r="X67" s="5">
        <f t="shared" si="88"/>
        <v>0.49520747966046869</v>
      </c>
      <c r="Y67" s="5">
        <f t="shared" si="88"/>
        <v>0.50998981588284709</v>
      </c>
      <c r="Z67" s="5">
        <f t="shared" si="88"/>
        <v>0.52406823133273162</v>
      </c>
    </row>
    <row r="68" spans="2:26" x14ac:dyDescent="0.25">
      <c r="B68" t="s">
        <v>38</v>
      </c>
      <c r="F68" s="14">
        <f>Investimentos!F13</f>
        <v>0</v>
      </c>
      <c r="G68" s="14">
        <f ca="1">Investimentos!G13</f>
        <v>-2000000</v>
      </c>
      <c r="H68" s="14">
        <f ca="1">Investimentos!H13</f>
        <v>-2100000</v>
      </c>
      <c r="I68" s="14">
        <f ca="1">Investimentos!I13</f>
        <v>-2200000</v>
      </c>
      <c r="J68" s="14">
        <f ca="1">Investimentos!J13</f>
        <v>-2300000</v>
      </c>
      <c r="K68" s="14">
        <f ca="1">Investimentos!K13</f>
        <v>-2400000</v>
      </c>
      <c r="L68" s="14">
        <f ca="1">Investimentos!L13</f>
        <v>-2500000</v>
      </c>
      <c r="M68" s="14">
        <f ca="1">Investimentos!M13</f>
        <v>-2600000</v>
      </c>
      <c r="N68" s="14">
        <f ca="1">Investimentos!N13</f>
        <v>-2700000</v>
      </c>
      <c r="O68" s="14">
        <f ca="1">Investimentos!O13</f>
        <v>-2800000</v>
      </c>
      <c r="P68" s="14">
        <f ca="1">Investimentos!P13</f>
        <v>-2900000</v>
      </c>
      <c r="Q68" s="14">
        <f ca="1">Investimentos!Q13</f>
        <v>-1000000</v>
      </c>
      <c r="R68" s="14">
        <f ca="1">Investimentos!R13</f>
        <v>-1000000</v>
      </c>
      <c r="S68" s="14">
        <f ca="1">Investimentos!S13</f>
        <v>-1000000</v>
      </c>
      <c r="T68" s="14">
        <f ca="1">Investimentos!T13</f>
        <v>-1000000</v>
      </c>
      <c r="U68" s="14">
        <f ca="1">Investimentos!U13</f>
        <v>-1000000</v>
      </c>
      <c r="V68" s="14">
        <f ca="1">Investimentos!V13</f>
        <v>-1000000</v>
      </c>
      <c r="W68" s="14">
        <f ca="1">Investimentos!W13</f>
        <v>-1000000</v>
      </c>
      <c r="X68" s="14">
        <f ca="1">Investimentos!X13</f>
        <v>-1000000</v>
      </c>
      <c r="Y68" s="14">
        <f ca="1">Investimentos!Y13</f>
        <v>-1000000</v>
      </c>
      <c r="Z68" s="14">
        <f ca="1">Investimentos!Z13</f>
        <v>-1000000</v>
      </c>
    </row>
    <row r="70" spans="2:26" x14ac:dyDescent="0.25">
      <c r="B70" s="3" t="s">
        <v>39</v>
      </c>
      <c r="C70" s="3"/>
      <c r="D70" s="3"/>
      <c r="E70" s="3"/>
      <c r="F70" s="15">
        <f>F66+F68</f>
        <v>0</v>
      </c>
      <c r="G70" s="15">
        <f t="shared" ref="G70:Z70" ca="1" si="89">G66+G68</f>
        <v>-589760</v>
      </c>
      <c r="H70" s="15">
        <f t="shared" ca="1" si="89"/>
        <v>-5697.9199999971315</v>
      </c>
      <c r="I70" s="15">
        <f t="shared" ca="1" si="89"/>
        <v>663470.67136000469</v>
      </c>
      <c r="J70" s="15">
        <f t="shared" ca="1" si="89"/>
        <v>1426462.4851251245</v>
      </c>
      <c r="K70" s="15">
        <f t="shared" ca="1" si="89"/>
        <v>2292831.6462366357</v>
      </c>
      <c r="L70" s="15">
        <f t="shared" ca="1" si="89"/>
        <v>3273048.1546696033</v>
      </c>
      <c r="M70" s="15">
        <f t="shared" ca="1" si="89"/>
        <v>4378583.6217575762</v>
      </c>
      <c r="N70" s="15">
        <f t="shared" ca="1" si="89"/>
        <v>5622004.9532919712</v>
      </c>
      <c r="O70" s="15">
        <f t="shared" ca="1" si="89"/>
        <v>7017076.712860845</v>
      </c>
      <c r="P70" s="15">
        <f t="shared" ca="1" si="89"/>
        <v>8578872.9664647058</v>
      </c>
      <c r="Q70" s="15">
        <f t="shared" ca="1" si="89"/>
        <v>12323899.483240934</v>
      </c>
      <c r="R70" s="15">
        <f t="shared" ca="1" si="89"/>
        <v>14370227.247715035</v>
      </c>
      <c r="S70" s="15">
        <f t="shared" ca="1" si="89"/>
        <v>16637638.327001393</v>
      </c>
      <c r="T70" s="15">
        <f t="shared" ca="1" si="89"/>
        <v>19147785.232481968</v>
      </c>
      <c r="U70" s="15">
        <f t="shared" ca="1" si="89"/>
        <v>21924365.020442612</v>
      </c>
      <c r="V70" s="15">
        <f t="shared" ca="1" si="89"/>
        <v>24993309.490758501</v>
      </c>
      <c r="W70" s="15">
        <f t="shared" ca="1" si="89"/>
        <v>28382992.967880879</v>
      </c>
      <c r="X70" s="15">
        <f t="shared" ca="1" si="89"/>
        <v>32124459.285057425</v>
      </c>
      <c r="Y70" s="15">
        <f t="shared" ca="1" si="89"/>
        <v>36251669.741979465</v>
      </c>
      <c r="Z70" s="15">
        <f t="shared" ca="1" si="89"/>
        <v>40801773.96904622</v>
      </c>
    </row>
    <row r="72" spans="2:26" x14ac:dyDescent="0.25">
      <c r="B72" t="s">
        <v>40</v>
      </c>
    </row>
    <row r="73" spans="2:26" x14ac:dyDescent="0.25">
      <c r="B73" t="s">
        <v>41</v>
      </c>
      <c r="F73" s="14">
        <f>-Dívida!F13</f>
        <v>-716800.00000000035</v>
      </c>
      <c r="G73" s="14">
        <f ca="1">-Dívida!G13</f>
        <v>-1004666.8800000005</v>
      </c>
      <c r="H73" s="14">
        <f ca="1">-Dívida!H13</f>
        <v>-1073252.1390080005</v>
      </c>
      <c r="I73" s="14">
        <f ca="1">-Dívida!I13</f>
        <v>-858601.71120640065</v>
      </c>
      <c r="J73" s="14">
        <f ca="1">-Dívida!J13</f>
        <v>-643951.28340480046</v>
      </c>
      <c r="K73" s="14">
        <f ca="1">-Dívida!K13</f>
        <v>-429300.85560320038</v>
      </c>
      <c r="L73" s="14">
        <f ca="1">-Dívida!L13</f>
        <v>-214650.42780160028</v>
      </c>
      <c r="M73" s="14">
        <f ca="1">-Dívida!M13</f>
        <v>-1.8477439880371101E-10</v>
      </c>
      <c r="N73" s="14">
        <f ca="1">-Dívida!N13</f>
        <v>-1.8477439880371101E-10</v>
      </c>
      <c r="O73" s="14">
        <f ca="1">-Dívida!O13</f>
        <v>-1.8477439880371101E-10</v>
      </c>
      <c r="P73" s="14">
        <f ca="1">-Dívida!P13</f>
        <v>-1.8477439880371101E-10</v>
      </c>
      <c r="Q73" s="14">
        <f ca="1">-Dívida!Q13</f>
        <v>-1.8477439880371101E-10</v>
      </c>
      <c r="R73" s="14">
        <f ca="1">-Dívida!R13</f>
        <v>-1.8477439880371101E-10</v>
      </c>
      <c r="S73" s="14">
        <f ca="1">-Dívida!S13</f>
        <v>-1.8477439880371101E-10</v>
      </c>
      <c r="T73" s="14">
        <f ca="1">-Dívida!T13</f>
        <v>-1.8477439880371101E-10</v>
      </c>
      <c r="U73" s="14">
        <f ca="1">-Dívida!U13</f>
        <v>-1.8477439880371101E-10</v>
      </c>
      <c r="V73" s="14">
        <f ca="1">-Dívida!V13</f>
        <v>-1.8477439880371101E-10</v>
      </c>
      <c r="W73" s="14">
        <f ca="1">-Dívida!W13</f>
        <v>-1.8477439880371101E-10</v>
      </c>
      <c r="X73" s="14">
        <f ca="1">-Dívida!X13</f>
        <v>-1.8477439880371101E-10</v>
      </c>
      <c r="Y73" s="14">
        <f ca="1">-Dívida!Y13</f>
        <v>-1.8477439880371101E-10</v>
      </c>
      <c r="Z73" s="14">
        <f ca="1">-Dívida!Z13</f>
        <v>-1.8477439880371101E-10</v>
      </c>
    </row>
    <row r="75" spans="2:26" x14ac:dyDescent="0.25">
      <c r="B75" s="3" t="s">
        <v>42</v>
      </c>
      <c r="C75" s="3"/>
      <c r="D75" s="3"/>
      <c r="E75" s="3"/>
      <c r="F75" s="24">
        <f>F70+SUM(F72:F73)</f>
        <v>-716800.00000000035</v>
      </c>
      <c r="G75" s="24">
        <f t="shared" ref="G75:Z75" ca="1" si="90">G70+SUM(G72:G73)</f>
        <v>-1594426.8800000004</v>
      </c>
      <c r="H75" s="24">
        <f t="shared" ca="1" si="90"/>
        <v>-1078950.0590079976</v>
      </c>
      <c r="I75" s="24">
        <f t="shared" ca="1" si="90"/>
        <v>-195131.03984639596</v>
      </c>
      <c r="J75" s="24">
        <f t="shared" ca="1" si="90"/>
        <v>782511.201720324</v>
      </c>
      <c r="K75" s="24">
        <f t="shared" ca="1" si="90"/>
        <v>1863530.7906334354</v>
      </c>
      <c r="L75" s="24">
        <f t="shared" ca="1" si="90"/>
        <v>3058397.7268680031</v>
      </c>
      <c r="M75" s="24">
        <f t="shared" ca="1" si="90"/>
        <v>4378583.6217575762</v>
      </c>
      <c r="N75" s="24">
        <f t="shared" ca="1" si="90"/>
        <v>5622004.9532919712</v>
      </c>
      <c r="O75" s="24">
        <f t="shared" ca="1" si="90"/>
        <v>7017076.712860845</v>
      </c>
      <c r="P75" s="24">
        <f t="shared" ca="1" si="90"/>
        <v>8578872.9664647058</v>
      </c>
      <c r="Q75" s="24">
        <f t="shared" ca="1" si="90"/>
        <v>12323899.483240934</v>
      </c>
      <c r="R75" s="24">
        <f t="shared" ca="1" si="90"/>
        <v>14370227.247715035</v>
      </c>
      <c r="S75" s="24">
        <f t="shared" ca="1" si="90"/>
        <v>16637638.327001393</v>
      </c>
      <c r="T75" s="24">
        <f t="shared" ca="1" si="90"/>
        <v>19147785.232481968</v>
      </c>
      <c r="U75" s="24">
        <f t="shared" ca="1" si="90"/>
        <v>21924365.020442612</v>
      </c>
      <c r="V75" s="24">
        <f t="shared" ca="1" si="90"/>
        <v>24993309.490758501</v>
      </c>
      <c r="W75" s="24">
        <f t="shared" ca="1" si="90"/>
        <v>28382992.967880879</v>
      </c>
      <c r="X75" s="24">
        <f t="shared" ca="1" si="90"/>
        <v>32124459.285057425</v>
      </c>
      <c r="Y75" s="24">
        <f t="shared" ca="1" si="90"/>
        <v>36251669.741979465</v>
      </c>
      <c r="Z75" s="24">
        <f t="shared" ca="1" si="90"/>
        <v>40801773.96904622</v>
      </c>
    </row>
    <row r="76" spans="2:26" x14ac:dyDescent="0.25"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2:26" x14ac:dyDescent="0.25">
      <c r="B77" t="s">
        <v>43</v>
      </c>
      <c r="F77" s="11">
        <f>F103</f>
        <v>0</v>
      </c>
      <c r="G77" s="11">
        <f t="shared" ref="G77:Z77" ca="1" si="91">G103</f>
        <v>0</v>
      </c>
      <c r="H77" s="11">
        <f t="shared" ca="1" si="91"/>
        <v>0</v>
      </c>
      <c r="I77" s="11">
        <f t="shared" ca="1" si="91"/>
        <v>0</v>
      </c>
      <c r="J77" s="11">
        <f t="shared" ca="1" si="91"/>
        <v>-186237.66600943715</v>
      </c>
      <c r="K77" s="11">
        <f t="shared" ca="1" si="91"/>
        <v>-443520.32817075768</v>
      </c>
      <c r="L77" s="11">
        <f t="shared" ca="1" si="91"/>
        <v>-727898.65899458481</v>
      </c>
      <c r="M77" s="11">
        <f t="shared" ca="1" si="91"/>
        <v>-1042102.9019783032</v>
      </c>
      <c r="N77" s="11">
        <f t="shared" ca="1" si="91"/>
        <v>-1720945.3520886688</v>
      </c>
      <c r="O77" s="11">
        <f t="shared" ca="1" si="91"/>
        <v>-2385806.0823726873</v>
      </c>
      <c r="P77" s="11">
        <f t="shared" ca="1" si="91"/>
        <v>-2916816.8085980001</v>
      </c>
      <c r="Q77" s="11">
        <f t="shared" ca="1" si="91"/>
        <v>-4190125.824301918</v>
      </c>
      <c r="R77" s="11">
        <f t="shared" ca="1" si="91"/>
        <v>-4885877.2642231127</v>
      </c>
      <c r="S77" s="11">
        <f t="shared" ca="1" si="91"/>
        <v>-5656797.031180474</v>
      </c>
      <c r="T77" s="11">
        <f t="shared" ca="1" si="91"/>
        <v>-6510246.9790438693</v>
      </c>
      <c r="U77" s="11">
        <f t="shared" ca="1" si="91"/>
        <v>-7454284.1069504889</v>
      </c>
      <c r="V77" s="11">
        <f t="shared" ca="1" si="91"/>
        <v>-8497725.2268578913</v>
      </c>
      <c r="W77" s="11">
        <f t="shared" ca="1" si="91"/>
        <v>-9650217.6090794988</v>
      </c>
      <c r="X77" s="11">
        <f t="shared" ca="1" si="91"/>
        <v>-10922316.156919526</v>
      </c>
      <c r="Y77" s="11">
        <f t="shared" ca="1" si="91"/>
        <v>-12325567.712273018</v>
      </c>
      <c r="Z77" s="11">
        <f t="shared" ca="1" si="91"/>
        <v>-13872603.149475716</v>
      </c>
    </row>
    <row r="78" spans="2:26" x14ac:dyDescent="0.25"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2:26" x14ac:dyDescent="0.25">
      <c r="B79" s="3" t="s">
        <v>137</v>
      </c>
      <c r="C79" s="3"/>
      <c r="D79" s="3"/>
      <c r="E79" s="3"/>
      <c r="F79" s="24">
        <f>F75+F103</f>
        <v>-716800.00000000035</v>
      </c>
      <c r="G79" s="24">
        <f ca="1">G75+G103</f>
        <v>-1594426.8800000004</v>
      </c>
      <c r="H79" s="24">
        <f ca="1">H75+H103</f>
        <v>-1078950.0590079976</v>
      </c>
      <c r="I79" s="24">
        <f ca="1">I75+I103</f>
        <v>-195131.03984639596</v>
      </c>
      <c r="J79" s="24">
        <f ca="1">J75+J103</f>
        <v>596273.53571088682</v>
      </c>
      <c r="K79" s="24">
        <f ca="1">K75+K103</f>
        <v>1420010.4624626776</v>
      </c>
      <c r="L79" s="24">
        <f ca="1">L75+L103</f>
        <v>2330499.0678734183</v>
      </c>
      <c r="M79" s="24">
        <f ca="1">M75+M103</f>
        <v>3336480.719779273</v>
      </c>
      <c r="N79" s="24">
        <f ca="1">N75+N103</f>
        <v>3901059.6012033024</v>
      </c>
      <c r="O79" s="24">
        <f ca="1">O75+O103</f>
        <v>4631270.6304881573</v>
      </c>
      <c r="P79" s="24">
        <f ca="1">P75+P103</f>
        <v>5662056.1578667052</v>
      </c>
      <c r="Q79" s="24">
        <f ca="1">Q75+Q103</f>
        <v>8133773.6589390161</v>
      </c>
      <c r="R79" s="24">
        <f ca="1">R75+R103</f>
        <v>9484349.9834919237</v>
      </c>
      <c r="S79" s="24">
        <f ca="1">S75+S103</f>
        <v>10980841.295820918</v>
      </c>
      <c r="T79" s="24">
        <f ca="1">T75+T103</f>
        <v>12637538.253438098</v>
      </c>
      <c r="U79" s="24">
        <f ca="1">U75+U103</f>
        <v>14470080.913492125</v>
      </c>
      <c r="V79" s="24">
        <f ca="1">V75+V103</f>
        <v>16495584.26390061</v>
      </c>
      <c r="W79" s="24">
        <f ca="1">W75+W103</f>
        <v>18732775.35880138</v>
      </c>
      <c r="X79" s="24">
        <f ca="1">X75+X103</f>
        <v>21202143.128137901</v>
      </c>
      <c r="Y79" s="24">
        <f ca="1">Y75+Y103</f>
        <v>23926102.029706448</v>
      </c>
      <c r="Z79" s="24">
        <f ca="1">Z75+Z103</f>
        <v>26929170.819570504</v>
      </c>
    </row>
    <row r="81" spans="2:26" x14ac:dyDescent="0.25">
      <c r="B81" s="29" t="s">
        <v>85</v>
      </c>
    </row>
    <row r="83" spans="2:26" x14ac:dyDescent="0.25">
      <c r="B83" s="25" t="s">
        <v>46</v>
      </c>
      <c r="C83" s="25"/>
      <c r="D83" s="25"/>
      <c r="E83" s="25"/>
      <c r="F83" s="27">
        <v>0</v>
      </c>
      <c r="G83" s="28">
        <f>F86</f>
        <v>-473088.00000000023</v>
      </c>
      <c r="H83" s="28">
        <f t="shared" ref="H83:Z83" ca="1" si="92">G86</f>
        <v>-1525409.7408000003</v>
      </c>
      <c r="I83" s="28">
        <f t="shared" ca="1" si="92"/>
        <v>-2237516.7797452789</v>
      </c>
      <c r="J83" s="28">
        <f t="shared" ca="1" si="92"/>
        <v>-2366303.2660439005</v>
      </c>
      <c r="K83" s="28">
        <f t="shared" ca="1" si="92"/>
        <v>-1849845.8729084868</v>
      </c>
      <c r="L83" s="28">
        <f t="shared" ca="1" si="92"/>
        <v>-619915.55109041941</v>
      </c>
      <c r="M83" s="28">
        <f t="shared" ca="1" si="92"/>
        <v>1398626.9486424627</v>
      </c>
      <c r="N83" s="28">
        <f t="shared" ca="1" si="92"/>
        <v>4288492.1390024628</v>
      </c>
      <c r="O83" s="28">
        <f t="shared" ca="1" si="92"/>
        <v>7999015.4081751639</v>
      </c>
      <c r="P83" s="28">
        <f t="shared" ca="1" si="92"/>
        <v>12630286.03866332</v>
      </c>
      <c r="Q83" s="28">
        <f t="shared" ca="1" si="92"/>
        <v>18292342.196530025</v>
      </c>
      <c r="R83" s="28">
        <f t="shared" ca="1" si="92"/>
        <v>26426115.855469044</v>
      </c>
      <c r="S83" s="28">
        <f t="shared" ca="1" si="92"/>
        <v>35910465.838960968</v>
      </c>
      <c r="T83" s="28">
        <f t="shared" ca="1" si="92"/>
        <v>46891307.13478189</v>
      </c>
      <c r="U83" s="28">
        <f t="shared" ca="1" si="92"/>
        <v>59528845.388219982</v>
      </c>
      <c r="V83" s="28">
        <f t="shared" ca="1" si="92"/>
        <v>73998926.301712096</v>
      </c>
      <c r="W83" s="28">
        <f t="shared" ca="1" si="92"/>
        <v>90494510.565612718</v>
      </c>
      <c r="X83" s="28">
        <f t="shared" ca="1" si="92"/>
        <v>109227285.9244141</v>
      </c>
      <c r="Y83" s="28">
        <f t="shared" ca="1" si="92"/>
        <v>130429429.052552</v>
      </c>
      <c r="Z83" s="28">
        <f t="shared" ca="1" si="92"/>
        <v>154355531.08225843</v>
      </c>
    </row>
    <row r="84" spans="2:26" x14ac:dyDescent="0.25">
      <c r="B84" s="2" t="s">
        <v>42</v>
      </c>
      <c r="C84" s="51"/>
      <c r="D84" s="51"/>
      <c r="E84" s="51"/>
      <c r="F84" s="52">
        <f>F75</f>
        <v>-716800.00000000035</v>
      </c>
      <c r="G84" s="52">
        <f t="shared" ref="G84:Z84" ca="1" si="93">G75</f>
        <v>-1594426.8800000004</v>
      </c>
      <c r="H84" s="52">
        <f t="shared" ca="1" si="93"/>
        <v>-1078950.0590079976</v>
      </c>
      <c r="I84" s="52">
        <f t="shared" ca="1" si="93"/>
        <v>-195131.03984639596</v>
      </c>
      <c r="J84" s="52">
        <f t="shared" ca="1" si="93"/>
        <v>782511.201720324</v>
      </c>
      <c r="K84" s="52">
        <f t="shared" ca="1" si="93"/>
        <v>1863530.7906334354</v>
      </c>
      <c r="L84" s="52">
        <f t="shared" ca="1" si="93"/>
        <v>3058397.7268680031</v>
      </c>
      <c r="M84" s="52">
        <f t="shared" ca="1" si="93"/>
        <v>4378583.6217575762</v>
      </c>
      <c r="N84" s="52">
        <f t="shared" ca="1" si="93"/>
        <v>5622004.9532919712</v>
      </c>
      <c r="O84" s="52">
        <f t="shared" ca="1" si="93"/>
        <v>7017076.712860845</v>
      </c>
      <c r="P84" s="52">
        <f t="shared" ca="1" si="93"/>
        <v>8578872.9664647058</v>
      </c>
      <c r="Q84" s="52">
        <f t="shared" ca="1" si="93"/>
        <v>12323899.483240934</v>
      </c>
      <c r="R84" s="52">
        <f t="shared" ca="1" si="93"/>
        <v>14370227.247715035</v>
      </c>
      <c r="S84" s="52">
        <f t="shared" ca="1" si="93"/>
        <v>16637638.327001393</v>
      </c>
      <c r="T84" s="52">
        <f t="shared" ca="1" si="93"/>
        <v>19147785.232481968</v>
      </c>
      <c r="U84" s="52">
        <f t="shared" ca="1" si="93"/>
        <v>21924365.020442612</v>
      </c>
      <c r="V84" s="52">
        <f t="shared" ca="1" si="93"/>
        <v>24993309.490758501</v>
      </c>
      <c r="W84" s="52">
        <f t="shared" ca="1" si="93"/>
        <v>28382992.967880879</v>
      </c>
      <c r="X84" s="52">
        <f t="shared" ca="1" si="93"/>
        <v>32124459.285057425</v>
      </c>
      <c r="Y84" s="52">
        <f t="shared" ca="1" si="93"/>
        <v>36251669.741979465</v>
      </c>
      <c r="Z84" s="52">
        <f t="shared" ca="1" si="93"/>
        <v>40801773.96904622</v>
      </c>
    </row>
    <row r="85" spans="2:26" x14ac:dyDescent="0.25">
      <c r="B85" s="2" t="s">
        <v>43</v>
      </c>
      <c r="C85" s="36">
        <f>Premissas!$C$14</f>
        <v>0.34</v>
      </c>
      <c r="F85" s="14">
        <f>F84*-$C$85</f>
        <v>243712.00000000015</v>
      </c>
      <c r="G85" s="14">
        <f t="shared" ref="G85:Z85" ca="1" si="94">G84*-$C$85</f>
        <v>542105.13920000021</v>
      </c>
      <c r="H85" s="14">
        <f t="shared" ca="1" si="94"/>
        <v>366843.02006271924</v>
      </c>
      <c r="I85" s="14">
        <f t="shared" ca="1" si="94"/>
        <v>66344.553547774631</v>
      </c>
      <c r="J85" s="14">
        <f t="shared" ca="1" si="94"/>
        <v>-266053.80858491018</v>
      </c>
      <c r="K85" s="14">
        <f t="shared" ca="1" si="94"/>
        <v>-633600.46881536802</v>
      </c>
      <c r="L85" s="14">
        <f t="shared" ca="1" si="94"/>
        <v>-1039855.2271351211</v>
      </c>
      <c r="M85" s="14">
        <f t="shared" ca="1" si="94"/>
        <v>-1488718.4313975761</v>
      </c>
      <c r="N85" s="14">
        <f t="shared" ca="1" si="94"/>
        <v>-1911481.6841192704</v>
      </c>
      <c r="O85" s="14">
        <f t="shared" ca="1" si="94"/>
        <v>-2385806.0823726873</v>
      </c>
      <c r="P85" s="14">
        <f t="shared" ca="1" si="94"/>
        <v>-2916816.8085980001</v>
      </c>
      <c r="Q85" s="14">
        <f t="shared" ca="1" si="94"/>
        <v>-4190125.824301918</v>
      </c>
      <c r="R85" s="14">
        <f t="shared" ca="1" si="94"/>
        <v>-4885877.2642231127</v>
      </c>
      <c r="S85" s="14">
        <f t="shared" ca="1" si="94"/>
        <v>-5656797.031180474</v>
      </c>
      <c r="T85" s="14">
        <f t="shared" ca="1" si="94"/>
        <v>-6510246.9790438693</v>
      </c>
      <c r="U85" s="14">
        <f t="shared" ca="1" si="94"/>
        <v>-7454284.1069504889</v>
      </c>
      <c r="V85" s="14">
        <f t="shared" ca="1" si="94"/>
        <v>-8497725.2268578913</v>
      </c>
      <c r="W85" s="14">
        <f t="shared" ca="1" si="94"/>
        <v>-9650217.6090794988</v>
      </c>
      <c r="X85" s="14">
        <f t="shared" ca="1" si="94"/>
        <v>-10922316.156919526</v>
      </c>
      <c r="Y85" s="14">
        <f t="shared" ca="1" si="94"/>
        <v>-12325567.712273018</v>
      </c>
      <c r="Z85" s="14">
        <f t="shared" ca="1" si="94"/>
        <v>-13872603.149475716</v>
      </c>
    </row>
    <row r="86" spans="2:26" x14ac:dyDescent="0.25">
      <c r="B86" s="25" t="s">
        <v>49</v>
      </c>
      <c r="C86" s="25"/>
      <c r="D86" s="25"/>
      <c r="E86" s="25"/>
      <c r="F86" s="28">
        <f>+SUM(F83:F85)</f>
        <v>-473088.00000000023</v>
      </c>
      <c r="G86" s="28">
        <f ca="1">+SUM(G83:G85)</f>
        <v>-1525409.7408000003</v>
      </c>
      <c r="H86" s="28">
        <f t="shared" ref="H86:Z86" ca="1" si="95">+SUM(H83:H85)</f>
        <v>-2237516.7797452789</v>
      </c>
      <c r="I86" s="28">
        <f t="shared" ca="1" si="95"/>
        <v>-2366303.2660439005</v>
      </c>
      <c r="J86" s="28">
        <f t="shared" ca="1" si="95"/>
        <v>-1849845.8729084868</v>
      </c>
      <c r="K86" s="28">
        <f t="shared" ca="1" si="95"/>
        <v>-619915.55109041941</v>
      </c>
      <c r="L86" s="28">
        <f t="shared" ca="1" si="95"/>
        <v>1398626.9486424627</v>
      </c>
      <c r="M86" s="28">
        <f t="shared" ca="1" si="95"/>
        <v>4288492.1390024628</v>
      </c>
      <c r="N86" s="28">
        <f t="shared" ca="1" si="95"/>
        <v>7999015.4081751639</v>
      </c>
      <c r="O86" s="28">
        <f t="shared" ca="1" si="95"/>
        <v>12630286.03866332</v>
      </c>
      <c r="P86" s="28">
        <f t="shared" ca="1" si="95"/>
        <v>18292342.196530025</v>
      </c>
      <c r="Q86" s="28">
        <f t="shared" ca="1" si="95"/>
        <v>26426115.855469044</v>
      </c>
      <c r="R86" s="28">
        <f t="shared" ca="1" si="95"/>
        <v>35910465.838960968</v>
      </c>
      <c r="S86" s="28">
        <f t="shared" ca="1" si="95"/>
        <v>46891307.13478189</v>
      </c>
      <c r="T86" s="28">
        <f t="shared" ca="1" si="95"/>
        <v>59528845.388219982</v>
      </c>
      <c r="U86" s="28">
        <f t="shared" ca="1" si="95"/>
        <v>73998926.301712096</v>
      </c>
      <c r="V86" s="28">
        <f t="shared" ca="1" si="95"/>
        <v>90494510.565612718</v>
      </c>
      <c r="W86" s="28">
        <f t="shared" ca="1" si="95"/>
        <v>109227285.9244141</v>
      </c>
      <c r="X86" s="28">
        <f t="shared" ca="1" si="95"/>
        <v>130429429.052552</v>
      </c>
      <c r="Y86" s="28">
        <f t="shared" ca="1" si="95"/>
        <v>154355531.08225843</v>
      </c>
      <c r="Z86" s="28">
        <f t="shared" ca="1" si="95"/>
        <v>181284701.90182891</v>
      </c>
    </row>
    <row r="88" spans="2:26" x14ac:dyDescent="0.25">
      <c r="B88" s="29" t="s">
        <v>138</v>
      </c>
    </row>
    <row r="90" spans="2:26" x14ac:dyDescent="0.25">
      <c r="B90" s="25" t="s">
        <v>46</v>
      </c>
      <c r="C90" s="25"/>
      <c r="D90" s="25"/>
      <c r="E90" s="25"/>
      <c r="F90" s="27">
        <v>0</v>
      </c>
      <c r="G90" s="28">
        <f>F93</f>
        <v>243712.00000000015</v>
      </c>
      <c r="H90" s="28">
        <f t="shared" ref="H90:Z90" ca="1" si="96">G93</f>
        <v>785817.13920000033</v>
      </c>
      <c r="I90" s="28">
        <f t="shared" ca="1" si="96"/>
        <v>1152660.1592627196</v>
      </c>
      <c r="J90" s="28">
        <f t="shared" ca="1" si="96"/>
        <v>1219004.7128104942</v>
      </c>
      <c r="K90" s="28">
        <f t="shared" ca="1" si="96"/>
        <v>1139188.5702350212</v>
      </c>
      <c r="L90" s="28">
        <f t="shared" ca="1" si="96"/>
        <v>949108.42959041079</v>
      </c>
      <c r="M90" s="28">
        <f t="shared" ca="1" si="96"/>
        <v>637151.86144987447</v>
      </c>
      <c r="N90" s="28">
        <f t="shared" ca="1" si="96"/>
        <v>190536.33203060157</v>
      </c>
      <c r="O90" s="28">
        <f t="shared" ca="1" si="96"/>
        <v>0</v>
      </c>
      <c r="P90" s="28">
        <f t="shared" ca="1" si="96"/>
        <v>0</v>
      </c>
      <c r="Q90" s="28">
        <f t="shared" ca="1" si="96"/>
        <v>0</v>
      </c>
      <c r="R90" s="28">
        <f t="shared" ca="1" si="96"/>
        <v>0</v>
      </c>
      <c r="S90" s="28">
        <f t="shared" ca="1" si="96"/>
        <v>0</v>
      </c>
      <c r="T90" s="28">
        <f t="shared" ca="1" si="96"/>
        <v>0</v>
      </c>
      <c r="U90" s="28">
        <f t="shared" ca="1" si="96"/>
        <v>0</v>
      </c>
      <c r="V90" s="28">
        <f t="shared" ca="1" si="96"/>
        <v>0</v>
      </c>
      <c r="W90" s="28">
        <f t="shared" ca="1" si="96"/>
        <v>0</v>
      </c>
      <c r="X90" s="28">
        <f t="shared" ca="1" si="96"/>
        <v>0</v>
      </c>
      <c r="Y90" s="28">
        <f t="shared" ca="1" si="96"/>
        <v>0</v>
      </c>
      <c r="Z90" s="28">
        <f t="shared" ca="1" si="96"/>
        <v>0</v>
      </c>
    </row>
    <row r="91" spans="2:26" x14ac:dyDescent="0.25">
      <c r="B91" s="2" t="s">
        <v>139</v>
      </c>
      <c r="F91" s="14">
        <f>IF(F75&lt;0,F75*-$C$103,0)</f>
        <v>243712.00000000015</v>
      </c>
      <c r="G91" s="14">
        <f ca="1">IF(G75&lt;0,G75*-$C$103,0)</f>
        <v>542105.13920000021</v>
      </c>
      <c r="H91" s="14">
        <f ca="1">IF(H75&lt;0,H75*-$C$103,0)</f>
        <v>366843.02006271924</v>
      </c>
      <c r="I91" s="14">
        <f ca="1">IF(I75&lt;0,I75*-$C$103,0)</f>
        <v>66344.553547774631</v>
      </c>
      <c r="J91" s="14">
        <f t="shared" ref="J91:Z91" ca="1" si="97">IF(J75&lt;0,J75*-$C$103,0)</f>
        <v>0</v>
      </c>
      <c r="K91" s="14">
        <f t="shared" ca="1" si="97"/>
        <v>0</v>
      </c>
      <c r="L91" s="14">
        <f t="shared" ca="1" si="97"/>
        <v>0</v>
      </c>
      <c r="M91" s="14">
        <f t="shared" ca="1" si="97"/>
        <v>0</v>
      </c>
      <c r="N91" s="14">
        <f t="shared" ca="1" si="97"/>
        <v>0</v>
      </c>
      <c r="O91" s="14">
        <f t="shared" ca="1" si="97"/>
        <v>0</v>
      </c>
      <c r="P91" s="14">
        <f t="shared" ca="1" si="97"/>
        <v>0</v>
      </c>
      <c r="Q91" s="14">
        <f t="shared" ca="1" si="97"/>
        <v>0</v>
      </c>
      <c r="R91" s="14">
        <f t="shared" ca="1" si="97"/>
        <v>0</v>
      </c>
      <c r="S91" s="14">
        <f t="shared" ca="1" si="97"/>
        <v>0</v>
      </c>
      <c r="T91" s="14">
        <f t="shared" ca="1" si="97"/>
        <v>0</v>
      </c>
      <c r="U91" s="14">
        <f t="shared" ca="1" si="97"/>
        <v>0</v>
      </c>
      <c r="V91" s="14">
        <f t="shared" ca="1" si="97"/>
        <v>0</v>
      </c>
      <c r="W91" s="14">
        <f t="shared" ca="1" si="97"/>
        <v>0</v>
      </c>
      <c r="X91" s="14">
        <f t="shared" ca="1" si="97"/>
        <v>0</v>
      </c>
      <c r="Y91" s="14">
        <f t="shared" ca="1" si="97"/>
        <v>0</v>
      </c>
      <c r="Z91" s="14">
        <f t="shared" ca="1" si="97"/>
        <v>0</v>
      </c>
    </row>
    <row r="92" spans="2:26" x14ac:dyDescent="0.25">
      <c r="B92" s="2" t="s">
        <v>140</v>
      </c>
      <c r="F92" s="14">
        <f t="shared" ref="F92:Z92" si="98">IF(F75&lt;0,0,F75*-$C$103-F103)</f>
        <v>0</v>
      </c>
      <c r="G92" s="14">
        <f t="shared" ca="1" si="98"/>
        <v>0</v>
      </c>
      <c r="H92" s="14">
        <f t="shared" ca="1" si="98"/>
        <v>0</v>
      </c>
      <c r="I92" s="14">
        <f t="shared" ca="1" si="98"/>
        <v>0</v>
      </c>
      <c r="J92" s="14">
        <f t="shared" ca="1" si="98"/>
        <v>-79816.14257547303</v>
      </c>
      <c r="K92" s="14">
        <f t="shared" ca="1" si="98"/>
        <v>-190080.14064461034</v>
      </c>
      <c r="L92" s="14">
        <f t="shared" ca="1" si="98"/>
        <v>-311956.56814053631</v>
      </c>
      <c r="M92" s="14">
        <f ca="1">IF(M75&lt;0,0,M75*-$C$103-M103)</f>
        <v>-446615.52941927291</v>
      </c>
      <c r="N92" s="14">
        <f t="shared" ca="1" si="98"/>
        <v>-190536.33203060157</v>
      </c>
      <c r="O92" s="14">
        <f t="shared" ca="1" si="98"/>
        <v>0</v>
      </c>
      <c r="P92" s="14">
        <f t="shared" ca="1" si="98"/>
        <v>0</v>
      </c>
      <c r="Q92" s="14">
        <f t="shared" ca="1" si="98"/>
        <v>0</v>
      </c>
      <c r="R92" s="14">
        <f t="shared" ca="1" si="98"/>
        <v>0</v>
      </c>
      <c r="S92" s="14">
        <f t="shared" ca="1" si="98"/>
        <v>0</v>
      </c>
      <c r="T92" s="14">
        <f t="shared" ca="1" si="98"/>
        <v>0</v>
      </c>
      <c r="U92" s="14">
        <f t="shared" ca="1" si="98"/>
        <v>0</v>
      </c>
      <c r="V92" s="14">
        <f t="shared" ca="1" si="98"/>
        <v>0</v>
      </c>
      <c r="W92" s="14">
        <f t="shared" ca="1" si="98"/>
        <v>0</v>
      </c>
      <c r="X92" s="14">
        <f t="shared" ca="1" si="98"/>
        <v>0</v>
      </c>
      <c r="Y92" s="14">
        <f t="shared" ca="1" si="98"/>
        <v>0</v>
      </c>
      <c r="Z92" s="14">
        <f t="shared" ca="1" si="98"/>
        <v>0</v>
      </c>
    </row>
    <row r="93" spans="2:26" x14ac:dyDescent="0.25">
      <c r="B93" s="25" t="s">
        <v>49</v>
      </c>
      <c r="C93" s="25"/>
      <c r="D93" s="25"/>
      <c r="E93" s="25"/>
      <c r="F93" s="28">
        <f t="shared" ref="F93:I93" si="99">SUM(F90:F92)</f>
        <v>243712.00000000015</v>
      </c>
      <c r="G93" s="28">
        <f t="shared" ca="1" si="99"/>
        <v>785817.13920000033</v>
      </c>
      <c r="H93" s="28">
        <f t="shared" ca="1" si="99"/>
        <v>1152660.1592627196</v>
      </c>
      <c r="I93" s="28">
        <f t="shared" ca="1" si="99"/>
        <v>1219004.7128104942</v>
      </c>
      <c r="J93" s="28">
        <f ca="1">SUM(J90:J92)</f>
        <v>1139188.5702350212</v>
      </c>
      <c r="K93" s="28">
        <f t="shared" ref="K93:Z93" ca="1" si="100">SUM(K90:K92)</f>
        <v>949108.42959041079</v>
      </c>
      <c r="L93" s="28">
        <f t="shared" ca="1" si="100"/>
        <v>637151.86144987447</v>
      </c>
      <c r="M93" s="28">
        <f t="shared" ca="1" si="100"/>
        <v>190536.33203060157</v>
      </c>
      <c r="N93" s="28">
        <f t="shared" ca="1" si="100"/>
        <v>0</v>
      </c>
      <c r="O93" s="28">
        <f t="shared" ca="1" si="100"/>
        <v>0</v>
      </c>
      <c r="P93" s="28">
        <f t="shared" ca="1" si="100"/>
        <v>0</v>
      </c>
      <c r="Q93" s="28">
        <f t="shared" ca="1" si="100"/>
        <v>0</v>
      </c>
      <c r="R93" s="28">
        <f t="shared" ca="1" si="100"/>
        <v>0</v>
      </c>
      <c r="S93" s="28">
        <f t="shared" ca="1" si="100"/>
        <v>0</v>
      </c>
      <c r="T93" s="28">
        <f t="shared" ca="1" si="100"/>
        <v>0</v>
      </c>
      <c r="U93" s="28">
        <f t="shared" ca="1" si="100"/>
        <v>0</v>
      </c>
      <c r="V93" s="28">
        <f t="shared" ca="1" si="100"/>
        <v>0</v>
      </c>
      <c r="W93" s="28">
        <f t="shared" ca="1" si="100"/>
        <v>0</v>
      </c>
      <c r="X93" s="28">
        <f t="shared" ca="1" si="100"/>
        <v>0</v>
      </c>
      <c r="Y93" s="28">
        <f t="shared" ca="1" si="100"/>
        <v>0</v>
      </c>
      <c r="Z93" s="28">
        <f t="shared" ca="1" si="100"/>
        <v>0</v>
      </c>
    </row>
    <row r="94" spans="2:26" x14ac:dyDescent="0.25">
      <c r="K94" s="14"/>
    </row>
    <row r="95" spans="2:26" x14ac:dyDescent="0.25">
      <c r="B95" s="29" t="s">
        <v>142</v>
      </c>
    </row>
    <row r="97" spans="2:26" x14ac:dyDescent="0.25">
      <c r="B97" s="25" t="s">
        <v>46</v>
      </c>
      <c r="C97" s="25"/>
      <c r="D97" s="25"/>
      <c r="E97" s="25"/>
      <c r="F97" s="27">
        <v>0</v>
      </c>
      <c r="G97" s="28">
        <f>F100</f>
        <v>716800.00000000035</v>
      </c>
      <c r="H97" s="28">
        <f t="shared" ref="H97:N97" ca="1" si="101">G100</f>
        <v>2311226.8800000008</v>
      </c>
      <c r="I97" s="28">
        <f t="shared" ca="1" si="101"/>
        <v>3390176.9390079984</v>
      </c>
      <c r="J97" s="28">
        <f t="shared" ca="1" si="101"/>
        <v>3585307.9788543945</v>
      </c>
      <c r="K97" s="28">
        <f t="shared" ca="1" si="101"/>
        <v>3350554.6183382971</v>
      </c>
      <c r="L97" s="28">
        <f t="shared" ca="1" si="101"/>
        <v>2791495.3811482666</v>
      </c>
      <c r="M97" s="28">
        <f t="shared" ca="1" si="101"/>
        <v>1873976.0630878657</v>
      </c>
      <c r="N97" s="28">
        <f t="shared" ca="1" si="101"/>
        <v>560400.97656059288</v>
      </c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2:26" x14ac:dyDescent="0.25">
      <c r="B98" s="2" t="s">
        <v>139</v>
      </c>
      <c r="F98" s="14">
        <f>IF(F75&lt;0,-F75,0)</f>
        <v>716800.00000000035</v>
      </c>
      <c r="G98" s="14">
        <f t="shared" ref="G98:Z98" ca="1" si="102">IF(G75&lt;0,-G75,0)</f>
        <v>1594426.8800000004</v>
      </c>
      <c r="H98" s="14">
        <f t="shared" ca="1" si="102"/>
        <v>1078950.0590079976</v>
      </c>
      <c r="I98" s="14">
        <f t="shared" ca="1" si="102"/>
        <v>195131.03984639596</v>
      </c>
      <c r="J98" s="14">
        <f t="shared" ca="1" si="102"/>
        <v>0</v>
      </c>
      <c r="K98" s="14">
        <f t="shared" ca="1" si="102"/>
        <v>0</v>
      </c>
      <c r="L98" s="14">
        <f t="shared" ca="1" si="102"/>
        <v>0</v>
      </c>
      <c r="M98" s="14">
        <f t="shared" ca="1" si="102"/>
        <v>0</v>
      </c>
      <c r="N98" s="14">
        <f t="shared" ca="1" si="102"/>
        <v>0</v>
      </c>
      <c r="O98" s="14">
        <f t="shared" ca="1" si="102"/>
        <v>0</v>
      </c>
      <c r="P98" s="14">
        <f t="shared" ca="1" si="102"/>
        <v>0</v>
      </c>
      <c r="Q98" s="14">
        <f t="shared" ca="1" si="102"/>
        <v>0</v>
      </c>
      <c r="R98" s="14">
        <f t="shared" ca="1" si="102"/>
        <v>0</v>
      </c>
      <c r="S98" s="14">
        <f t="shared" ca="1" si="102"/>
        <v>0</v>
      </c>
      <c r="T98" s="14">
        <f t="shared" ca="1" si="102"/>
        <v>0</v>
      </c>
      <c r="U98" s="14">
        <f t="shared" ca="1" si="102"/>
        <v>0</v>
      </c>
      <c r="V98" s="14">
        <f t="shared" ca="1" si="102"/>
        <v>0</v>
      </c>
      <c r="W98" s="14">
        <f t="shared" ca="1" si="102"/>
        <v>0</v>
      </c>
      <c r="X98" s="14">
        <f t="shared" ca="1" si="102"/>
        <v>0</v>
      </c>
      <c r="Y98" s="14">
        <f t="shared" ca="1" si="102"/>
        <v>0</v>
      </c>
      <c r="Z98" s="14">
        <f t="shared" ca="1" si="102"/>
        <v>0</v>
      </c>
    </row>
    <row r="99" spans="2:26" x14ac:dyDescent="0.25">
      <c r="B99" s="2" t="s">
        <v>136</v>
      </c>
      <c r="C99" s="54">
        <f>Premissas!C15</f>
        <v>0.3</v>
      </c>
      <c r="F99" s="14">
        <f t="shared" ref="F99:Z99" si="103">IF(OR(F75&lt;0,F90=0),0,MAX(F75*-$C$99,-F97))</f>
        <v>0</v>
      </c>
      <c r="G99" s="14">
        <f t="shared" ca="1" si="103"/>
        <v>0</v>
      </c>
      <c r="H99" s="14">
        <f t="shared" ca="1" si="103"/>
        <v>0</v>
      </c>
      <c r="I99" s="14">
        <f t="shared" ca="1" si="103"/>
        <v>0</v>
      </c>
      <c r="J99" s="14">
        <f t="shared" ca="1" si="103"/>
        <v>-234753.36051609719</v>
      </c>
      <c r="K99" s="14">
        <f t="shared" ca="1" si="103"/>
        <v>-559059.23719003063</v>
      </c>
      <c r="L99" s="14">
        <f t="shared" ca="1" si="103"/>
        <v>-917519.3180604009</v>
      </c>
      <c r="M99" s="14">
        <f t="shared" ca="1" si="103"/>
        <v>-1313575.0865272728</v>
      </c>
      <c r="N99" s="14">
        <f ca="1">IF(OR(N75&lt;0,N90=0),0,MAX(N75*-$C$99,-N97))</f>
        <v>-560400.97656059288</v>
      </c>
      <c r="O99" s="14">
        <f t="shared" ref="O99:Z99" ca="1" si="104">IF(OR(O75&lt;0,O90=0),0,MAX(O75*-$C$99,-O97))</f>
        <v>0</v>
      </c>
      <c r="P99" s="14">
        <f t="shared" ca="1" si="104"/>
        <v>0</v>
      </c>
      <c r="Q99" s="14">
        <f t="shared" ca="1" si="104"/>
        <v>0</v>
      </c>
      <c r="R99" s="14">
        <f t="shared" ca="1" si="104"/>
        <v>0</v>
      </c>
      <c r="S99" s="14">
        <f t="shared" ca="1" si="104"/>
        <v>0</v>
      </c>
      <c r="T99" s="14">
        <f t="shared" ca="1" si="104"/>
        <v>0</v>
      </c>
      <c r="U99" s="14">
        <f t="shared" ca="1" si="104"/>
        <v>0</v>
      </c>
      <c r="V99" s="14">
        <f t="shared" ca="1" si="104"/>
        <v>0</v>
      </c>
      <c r="W99" s="14">
        <f t="shared" ca="1" si="104"/>
        <v>0</v>
      </c>
      <c r="X99" s="14">
        <f t="shared" ca="1" si="104"/>
        <v>0</v>
      </c>
      <c r="Y99" s="14">
        <f t="shared" ca="1" si="104"/>
        <v>0</v>
      </c>
      <c r="Z99" s="14">
        <f t="shared" ca="1" si="104"/>
        <v>0</v>
      </c>
    </row>
    <row r="100" spans="2:26" x14ac:dyDescent="0.25">
      <c r="B100" s="25" t="s">
        <v>49</v>
      </c>
      <c r="C100" s="25"/>
      <c r="D100" s="25"/>
      <c r="E100" s="25"/>
      <c r="F100" s="28">
        <f>SUM(F97:F99)</f>
        <v>716800.00000000035</v>
      </c>
      <c r="G100" s="28">
        <f ca="1">SUM(G97:G99)</f>
        <v>2311226.8800000008</v>
      </c>
      <c r="H100" s="28">
        <f t="shared" ref="H100:I100" ca="1" si="105">SUM(H97:H99)</f>
        <v>3390176.9390079984</v>
      </c>
      <c r="I100" s="28">
        <f t="shared" ca="1" si="105"/>
        <v>3585307.9788543945</v>
      </c>
      <c r="J100" s="28">
        <f t="shared" ref="J100" ca="1" si="106">SUM(J97:J99)</f>
        <v>3350554.6183382971</v>
      </c>
      <c r="K100" s="28">
        <f t="shared" ref="K100" ca="1" si="107">SUM(K97:K99)</f>
        <v>2791495.3811482666</v>
      </c>
      <c r="L100" s="28">
        <f t="shared" ref="L100" ca="1" si="108">SUM(L97:L99)</f>
        <v>1873976.0630878657</v>
      </c>
      <c r="M100" s="28">
        <f t="shared" ref="M100" ca="1" si="109">SUM(M97:M99)</f>
        <v>560400.97656059288</v>
      </c>
      <c r="N100" s="28">
        <f t="shared" ref="N100" ca="1" si="110">SUM(N97:N99)</f>
        <v>0</v>
      </c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2:26" x14ac:dyDescent="0.25">
      <c r="B101" s="29"/>
      <c r="C101" s="49"/>
      <c r="D101" s="29"/>
      <c r="E101" s="29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2:26" x14ac:dyDescent="0.25">
      <c r="B102" t="s">
        <v>141</v>
      </c>
      <c r="C102" s="23"/>
      <c r="F102" s="14">
        <f>IF((F75+F99)&lt;0,0,F75+F99)</f>
        <v>0</v>
      </c>
      <c r="G102" s="14">
        <f ca="1">IF((G75+G99)&lt;0,0,G75+G99)</f>
        <v>0</v>
      </c>
      <c r="H102" s="14">
        <f ca="1">IF((H75+H99)&lt;0,0,H75+H99)</f>
        <v>0</v>
      </c>
      <c r="I102" s="14">
        <f ca="1">IF((I75+I99)&lt;0,0,I75+I99)</f>
        <v>0</v>
      </c>
      <c r="J102" s="14">
        <f ca="1">IF((J75+J99)&lt;0,0,J75+J99)</f>
        <v>547757.84120422683</v>
      </c>
      <c r="K102" s="14">
        <f ca="1">IF((K75+K99)&lt;0,0,K75+K99)</f>
        <v>1304471.5534434048</v>
      </c>
      <c r="L102" s="14">
        <f ca="1">IF((L75+L99)&lt;0,0,L75+L99)</f>
        <v>2140878.4088076022</v>
      </c>
      <c r="M102" s="14">
        <f ca="1">IF((M75+M99)&lt;0,0,M75+M99)</f>
        <v>3065008.5352303032</v>
      </c>
      <c r="N102" s="14">
        <f ca="1">IF((N75+N99)&lt;0,0,N75+N99)</f>
        <v>5061603.9767313786</v>
      </c>
      <c r="O102" s="14">
        <f ca="1">IF((O75+O99)&lt;0,0,O75+O99)</f>
        <v>7017076.712860845</v>
      </c>
      <c r="P102" s="14">
        <f ca="1">IF((P75+P99)&lt;0,0,P75+P99)</f>
        <v>8578872.9664647058</v>
      </c>
      <c r="Q102" s="14">
        <f ca="1">IF((Q75+Q99)&lt;0,0,Q75+Q99)</f>
        <v>12323899.483240934</v>
      </c>
      <c r="R102" s="14">
        <f ca="1">IF((R75+R99)&lt;0,0,R75+R99)</f>
        <v>14370227.247715035</v>
      </c>
      <c r="S102" s="14">
        <f ca="1">IF((S75+S99)&lt;0,0,S75+S99)</f>
        <v>16637638.327001393</v>
      </c>
      <c r="T102" s="14">
        <f ca="1">IF((T75+T99)&lt;0,0,T75+T99)</f>
        <v>19147785.232481968</v>
      </c>
      <c r="U102" s="14">
        <f ca="1">IF((U75+U99)&lt;0,0,U75+U99)</f>
        <v>21924365.020442612</v>
      </c>
      <c r="V102" s="14">
        <f ca="1">IF((V75+V99)&lt;0,0,V75+V99)</f>
        <v>24993309.490758501</v>
      </c>
      <c r="W102" s="14">
        <f ca="1">IF((W75+W99)&lt;0,0,W75+W99)</f>
        <v>28382992.967880879</v>
      </c>
      <c r="X102" s="14">
        <f ca="1">IF((X75+X99)&lt;0,0,X75+X99)</f>
        <v>32124459.285057425</v>
      </c>
      <c r="Y102" s="14">
        <f ca="1">IF((Y75+Y99)&lt;0,0,Y75+Y99)</f>
        <v>36251669.741979465</v>
      </c>
      <c r="Z102" s="14">
        <f ca="1">IF((Z75+Z99)&lt;0,0,Z75+Z99)</f>
        <v>40801773.96904622</v>
      </c>
    </row>
    <row r="103" spans="2:26" x14ac:dyDescent="0.25">
      <c r="B103" t="s">
        <v>43</v>
      </c>
      <c r="C103" s="36">
        <f>Premissas!$C$14</f>
        <v>0.34</v>
      </c>
      <c r="F103" s="14">
        <f t="shared" ref="F103:I103" si="111">IF(F75&lt;0,0,F102*-$C103)</f>
        <v>0</v>
      </c>
      <c r="G103" s="14">
        <f t="shared" ca="1" si="111"/>
        <v>0</v>
      </c>
      <c r="H103" s="14">
        <f t="shared" ca="1" si="111"/>
        <v>0</v>
      </c>
      <c r="I103" s="14">
        <f t="shared" ca="1" si="111"/>
        <v>0</v>
      </c>
      <c r="J103" s="14">
        <f ca="1">IF(J75&lt;0,0,J102*-$C103)</f>
        <v>-186237.66600943715</v>
      </c>
      <c r="K103" s="14">
        <f ca="1">IF(K75&lt;0,0,K102*-$C103)</f>
        <v>-443520.32817075768</v>
      </c>
      <c r="L103" s="14">
        <f ca="1">IF(L75&lt;0,0,L102*-$C103)</f>
        <v>-727898.65899458481</v>
      </c>
      <c r="M103" s="14">
        <f ca="1">IF(M75&lt;0,0,M102*-$C103)</f>
        <v>-1042102.9019783032</v>
      </c>
      <c r="N103" s="14">
        <f t="shared" ref="N103:O103" ca="1" si="112">IF(N75&lt;0,0,N102*-$C103)</f>
        <v>-1720945.3520886688</v>
      </c>
      <c r="O103" s="14">
        <f t="shared" ca="1" si="112"/>
        <v>-2385806.0823726873</v>
      </c>
      <c r="P103" s="14">
        <f t="shared" ref="P103" ca="1" si="113">IF(P75&lt;0,0,P102*-$C103)</f>
        <v>-2916816.8085980001</v>
      </c>
      <c r="Q103" s="14">
        <f t="shared" ref="Q103" ca="1" si="114">IF(Q75&lt;0,0,Q102*-$C103)</f>
        <v>-4190125.824301918</v>
      </c>
      <c r="R103" s="14">
        <f t="shared" ref="R103" ca="1" si="115">IF(R75&lt;0,0,R102*-$C103)</f>
        <v>-4885877.2642231127</v>
      </c>
      <c r="S103" s="14">
        <f t="shared" ref="S103" ca="1" si="116">IF(S75&lt;0,0,S102*-$C103)</f>
        <v>-5656797.031180474</v>
      </c>
      <c r="T103" s="14">
        <f t="shared" ref="T103" ca="1" si="117">IF(T75&lt;0,0,T102*-$C103)</f>
        <v>-6510246.9790438693</v>
      </c>
      <c r="U103" s="14">
        <f t="shared" ref="U103" ca="1" si="118">IF(U75&lt;0,0,U102*-$C103)</f>
        <v>-7454284.1069504889</v>
      </c>
      <c r="V103" s="14">
        <f t="shared" ref="V103" ca="1" si="119">IF(V75&lt;0,0,V102*-$C103)</f>
        <v>-8497725.2268578913</v>
      </c>
      <c r="W103" s="14">
        <f t="shared" ref="W103" ca="1" si="120">IF(W75&lt;0,0,W102*-$C103)</f>
        <v>-9650217.6090794988</v>
      </c>
      <c r="X103" s="14">
        <f t="shared" ref="X103" ca="1" si="121">IF(X75&lt;0,0,X102*-$C103)</f>
        <v>-10922316.156919526</v>
      </c>
      <c r="Y103" s="14">
        <f t="shared" ref="Y103" ca="1" si="122">IF(Y75&lt;0,0,Y102*-$C103)</f>
        <v>-12325567.712273018</v>
      </c>
      <c r="Z103" s="14">
        <f t="shared" ref="Z103" ca="1" si="123">IF(Z75&lt;0,0,Z102*-$C103)</f>
        <v>-13872603.149475716</v>
      </c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G12:Z1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7987-7247-4AE5-9A69-3E3A8939C5CC}">
  <dimension ref="B3:Z28"/>
  <sheetViews>
    <sheetView showGridLines="0" zoomScale="80" zoomScaleNormal="80" workbookViewId="0">
      <pane xSplit="4" ySplit="6" topLeftCell="E7" activePane="bottomRight" state="frozen"/>
      <selection activeCell="B84" sqref="B84"/>
      <selection pane="topRight" activeCell="B84" sqref="B84"/>
      <selection pane="bottomLeft" activeCell="B84" sqref="B84"/>
      <selection pane="bottomRight" activeCell="C5" sqref="C5"/>
    </sheetView>
  </sheetViews>
  <sheetFormatPr defaultRowHeight="15" x14ac:dyDescent="0.25"/>
  <cols>
    <col min="2" max="2" width="25.42578125" customWidth="1"/>
    <col min="3" max="3" width="10.140625" customWidth="1"/>
    <col min="4" max="4" width="25.42578125" customWidth="1"/>
    <col min="6" max="8" width="15.140625" bestFit="1" customWidth="1"/>
    <col min="9" max="11" width="13.85546875" bestFit="1" customWidth="1"/>
    <col min="12" max="21" width="12.42578125" bestFit="1" customWidth="1"/>
    <col min="22" max="26" width="13.5703125" bestFit="1" customWidth="1"/>
  </cols>
  <sheetData>
    <row r="3" spans="2:26" x14ac:dyDescent="0.25">
      <c r="F3" s="1">
        <v>0</v>
      </c>
      <c r="G3" s="1">
        <f>F3+1</f>
        <v>1</v>
      </c>
      <c r="H3" s="1">
        <f t="shared" ref="H3:Z3" si="0">G3+1</f>
        <v>2</v>
      </c>
      <c r="I3" s="1">
        <f t="shared" si="0"/>
        <v>3</v>
      </c>
      <c r="J3" s="1">
        <f t="shared" si="0"/>
        <v>4</v>
      </c>
      <c r="K3" s="1">
        <f t="shared" si="0"/>
        <v>5</v>
      </c>
      <c r="L3" s="1">
        <f t="shared" si="0"/>
        <v>6</v>
      </c>
      <c r="M3" s="1">
        <f t="shared" si="0"/>
        <v>7</v>
      </c>
      <c r="N3" s="1">
        <f t="shared" si="0"/>
        <v>8</v>
      </c>
      <c r="O3" s="1">
        <f t="shared" si="0"/>
        <v>9</v>
      </c>
      <c r="P3" s="1">
        <f t="shared" si="0"/>
        <v>10</v>
      </c>
      <c r="Q3" s="1">
        <f t="shared" si="0"/>
        <v>11</v>
      </c>
      <c r="R3" s="1">
        <f t="shared" si="0"/>
        <v>12</v>
      </c>
      <c r="S3" s="1">
        <f t="shared" si="0"/>
        <v>13</v>
      </c>
      <c r="T3" s="1">
        <f t="shared" si="0"/>
        <v>14</v>
      </c>
      <c r="U3" s="1">
        <f t="shared" si="0"/>
        <v>15</v>
      </c>
      <c r="V3" s="1">
        <f t="shared" si="0"/>
        <v>16</v>
      </c>
      <c r="W3" s="1">
        <f t="shared" si="0"/>
        <v>17</v>
      </c>
      <c r="X3" s="1">
        <f t="shared" si="0"/>
        <v>18</v>
      </c>
      <c r="Y3" s="1">
        <f t="shared" si="0"/>
        <v>19</v>
      </c>
      <c r="Z3" s="1">
        <f t="shared" si="0"/>
        <v>20</v>
      </c>
    </row>
    <row r="5" spans="2:26" x14ac:dyDescent="0.25">
      <c r="B5" t="s">
        <v>69</v>
      </c>
      <c r="C5" s="65">
        <f>Premissas!$C$4</f>
        <v>365</v>
      </c>
      <c r="F5" s="14">
        <f>$C$5</f>
        <v>365</v>
      </c>
      <c r="G5" s="14">
        <f t="shared" ref="G5:Z5" si="1">$C$5</f>
        <v>365</v>
      </c>
      <c r="H5" s="14">
        <f t="shared" si="1"/>
        <v>365</v>
      </c>
      <c r="I5" s="14">
        <f t="shared" si="1"/>
        <v>365</v>
      </c>
      <c r="J5" s="14">
        <f t="shared" si="1"/>
        <v>365</v>
      </c>
      <c r="K5" s="14">
        <f t="shared" si="1"/>
        <v>365</v>
      </c>
      <c r="L5" s="14">
        <f t="shared" si="1"/>
        <v>365</v>
      </c>
      <c r="M5" s="14">
        <f t="shared" si="1"/>
        <v>365</v>
      </c>
      <c r="N5" s="14">
        <f t="shared" si="1"/>
        <v>365</v>
      </c>
      <c r="O5" s="14">
        <f t="shared" si="1"/>
        <v>365</v>
      </c>
      <c r="P5" s="14">
        <f t="shared" si="1"/>
        <v>365</v>
      </c>
      <c r="Q5" s="14">
        <f t="shared" si="1"/>
        <v>365</v>
      </c>
      <c r="R5" s="14">
        <f t="shared" si="1"/>
        <v>365</v>
      </c>
      <c r="S5" s="14">
        <f t="shared" si="1"/>
        <v>365</v>
      </c>
      <c r="T5" s="14">
        <f t="shared" si="1"/>
        <v>365</v>
      </c>
      <c r="U5" s="14">
        <f t="shared" si="1"/>
        <v>365</v>
      </c>
      <c r="V5" s="14">
        <f t="shared" si="1"/>
        <v>365</v>
      </c>
      <c r="W5" s="14">
        <f t="shared" si="1"/>
        <v>365</v>
      </c>
      <c r="X5" s="14">
        <f t="shared" si="1"/>
        <v>365</v>
      </c>
      <c r="Y5" s="14">
        <f t="shared" si="1"/>
        <v>365</v>
      </c>
      <c r="Z5" s="14">
        <f t="shared" si="1"/>
        <v>365</v>
      </c>
    </row>
    <row r="6" spans="2:26" x14ac:dyDescent="0.25">
      <c r="B6" t="s">
        <v>14</v>
      </c>
      <c r="C6" s="22">
        <f>Premissas!C5</f>
        <v>0.04</v>
      </c>
      <c r="F6" s="6">
        <f>(1+$C$6)^F3</f>
        <v>1</v>
      </c>
      <c r="G6" s="6">
        <f>(1+$C$6)^G3</f>
        <v>1.04</v>
      </c>
      <c r="H6" s="6">
        <f>(1+$C$6)^H3</f>
        <v>1.0816000000000001</v>
      </c>
      <c r="I6" s="6">
        <f t="shared" ref="I6:Z6" si="2">(1+$C$6)^I3</f>
        <v>1.1248640000000001</v>
      </c>
      <c r="J6" s="6">
        <f t="shared" si="2"/>
        <v>1.1698585600000002</v>
      </c>
      <c r="K6" s="6">
        <f t="shared" si="2"/>
        <v>1.2166529024000003</v>
      </c>
      <c r="L6" s="6">
        <f t="shared" si="2"/>
        <v>1.2653190184960004</v>
      </c>
      <c r="M6" s="6">
        <f t="shared" si="2"/>
        <v>1.3159317792358403</v>
      </c>
      <c r="N6" s="6">
        <f t="shared" si="2"/>
        <v>1.3685690504052741</v>
      </c>
      <c r="O6" s="6">
        <f t="shared" si="2"/>
        <v>1.4233118124214852</v>
      </c>
      <c r="P6" s="6">
        <f t="shared" si="2"/>
        <v>1.4802442849183446</v>
      </c>
      <c r="Q6" s="6">
        <f t="shared" si="2"/>
        <v>1.5394540563150783</v>
      </c>
      <c r="R6" s="6">
        <f t="shared" si="2"/>
        <v>1.6010322185676817</v>
      </c>
      <c r="S6" s="6">
        <f t="shared" si="2"/>
        <v>1.6650735073103891</v>
      </c>
      <c r="T6" s="6">
        <f t="shared" si="2"/>
        <v>1.7316764476028046</v>
      </c>
      <c r="U6" s="6">
        <f t="shared" si="2"/>
        <v>1.8009435055069167</v>
      </c>
      <c r="V6" s="6">
        <f t="shared" si="2"/>
        <v>1.8729812457271937</v>
      </c>
      <c r="W6" s="6">
        <f t="shared" si="2"/>
        <v>1.9479004955562815</v>
      </c>
      <c r="X6" s="6">
        <f t="shared" si="2"/>
        <v>2.025816515378533</v>
      </c>
      <c r="Y6" s="6">
        <f t="shared" si="2"/>
        <v>2.1068491759936743</v>
      </c>
      <c r="Z6" s="6">
        <f t="shared" si="2"/>
        <v>2.1911231430334213</v>
      </c>
    </row>
    <row r="9" spans="2:26" x14ac:dyDescent="0.25">
      <c r="B9" s="3" t="s">
        <v>79</v>
      </c>
      <c r="C9" s="3"/>
      <c r="D9" s="3"/>
      <c r="E9" s="3"/>
      <c r="F9" s="24">
        <f ca="1">SUM(F11:F15)</f>
        <v>21243712</v>
      </c>
      <c r="G9" s="24">
        <f ca="1">SUM(G11:G15)</f>
        <v>21270424.262487672</v>
      </c>
      <c r="H9" s="24">
        <f ca="1">SUM(H11:H15)</f>
        <v>20442421.38665998</v>
      </c>
      <c r="I9" s="24">
        <f ca="1">SUM(I11:I15)</f>
        <v>19341118.403813235</v>
      </c>
      <c r="J9" s="24">
        <f ca="1">SUM(J11:J15)</f>
        <v>17996490.928722341</v>
      </c>
      <c r="K9" s="24">
        <f ca="1">SUM(K11:K15)</f>
        <v>16444690.981287386</v>
      </c>
      <c r="L9" s="24">
        <f ca="1">SUM(L11:L15)</f>
        <v>14674384.719180947</v>
      </c>
      <c r="M9" s="24">
        <f ca="1">SUM(M11:M15)</f>
        <v>12673093.592402026</v>
      </c>
      <c r="N9" s="24">
        <f ca="1">SUM(N11:N15)</f>
        <v>10831887.467243854</v>
      </c>
      <c r="O9" s="24">
        <f ca="1">SUM(O11:O15)</f>
        <v>9085585.4507052768</v>
      </c>
      <c r="P9" s="24">
        <f ca="1">SUM(P11:P15)</f>
        <v>7244046.2221041489</v>
      </c>
      <c r="Q9" s="24">
        <f ca="1">SUM(Q11:Q15)</f>
        <v>7307700.860869078</v>
      </c>
      <c r="R9" s="24">
        <f ca="1">SUM(R11:R15)</f>
        <v>7377019.821853634</v>
      </c>
      <c r="S9" s="24">
        <f ca="1">SUM(S11:S15)</f>
        <v>7452516.5465201531</v>
      </c>
      <c r="T9" s="24">
        <f ca="1">SUM(T11:T15)</f>
        <v>7534751.4058982311</v>
      </c>
      <c r="U9" s="24">
        <f ca="1">SUM(U11:U15)</f>
        <v>7624336.0058230218</v>
      </c>
      <c r="V9" s="24">
        <f ca="1">SUM(V11:V15)</f>
        <v>7721937.8877641782</v>
      </c>
      <c r="W9" s="24">
        <f ca="1">SUM(W11:W15)</f>
        <v>7828285.6616201401</v>
      </c>
      <c r="X9" s="24">
        <f ca="1">SUM(X11:X15)</f>
        <v>7944174.6101981159</v>
      </c>
      <c r="Y9" s="24">
        <f ca="1">SUM(Y11:Y15)</f>
        <v>8070472.8087536227</v>
      </c>
      <c r="Z9" s="24">
        <f ca="1">SUM(Z11:Z15)</f>
        <v>8208127.8069529273</v>
      </c>
    </row>
    <row r="10" spans="2:26" x14ac:dyDescent="0.25"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2:26" x14ac:dyDescent="0.25">
      <c r="B11" t="s">
        <v>80</v>
      </c>
      <c r="F11" s="14">
        <f ca="1">'Fluxo de Caixa'!F33</f>
        <v>1000000</v>
      </c>
      <c r="G11" s="14">
        <f ca="1">'Fluxo de Caixa'!G33</f>
        <v>1124596.1643835618</v>
      </c>
      <c r="H11" s="14">
        <f ca="1">'Fluxo de Caixa'!H33</f>
        <v>1000000</v>
      </c>
      <c r="I11" s="14">
        <f ca="1">'Fluxo de Caixa'!I33</f>
        <v>1000000</v>
      </c>
      <c r="J11" s="14">
        <f ca="1">'Fluxo de Caixa'!J33</f>
        <v>1000000</v>
      </c>
      <c r="K11" s="14">
        <f ca="1">'Fluxo de Caixa'!K33</f>
        <v>1000000</v>
      </c>
      <c r="L11" s="14">
        <f ca="1">'Fluxo de Caixa'!L33</f>
        <v>1000000</v>
      </c>
      <c r="M11" s="14">
        <f ca="1">'Fluxo de Caixa'!M33</f>
        <v>1000000</v>
      </c>
      <c r="N11" s="14">
        <f ca="1">'Fluxo de Caixa'!N33</f>
        <v>1000000</v>
      </c>
      <c r="O11" s="14">
        <f ca="1">'Fluxo de Caixa'!O33</f>
        <v>1000000</v>
      </c>
      <c r="P11" s="14">
        <f ca="1">'Fluxo de Caixa'!P33</f>
        <v>1000000</v>
      </c>
      <c r="Q11" s="14">
        <f ca="1">'Fluxo de Caixa'!Q33</f>
        <v>1000000</v>
      </c>
      <c r="R11" s="14">
        <f ca="1">'Fluxo de Caixa'!R33</f>
        <v>1000000</v>
      </c>
      <c r="S11" s="14">
        <f ca="1">'Fluxo de Caixa'!S33</f>
        <v>1000000</v>
      </c>
      <c r="T11" s="14">
        <f ca="1">'Fluxo de Caixa'!T33</f>
        <v>1000000</v>
      </c>
      <c r="U11" s="14">
        <f ca="1">'Fluxo de Caixa'!U33</f>
        <v>1000000</v>
      </c>
      <c r="V11" s="14">
        <f ca="1">'Fluxo de Caixa'!V33</f>
        <v>1000000</v>
      </c>
      <c r="W11" s="14">
        <f ca="1">'Fluxo de Caixa'!W33</f>
        <v>1000000</v>
      </c>
      <c r="X11" s="14">
        <f ca="1">'Fluxo de Caixa'!X33</f>
        <v>1000000</v>
      </c>
      <c r="Y11" s="14">
        <f ca="1">'Fluxo de Caixa'!Y33</f>
        <v>1000000</v>
      </c>
      <c r="Z11" s="14">
        <f ca="1">'Fluxo de Caixa'!Z33</f>
        <v>1000000</v>
      </c>
    </row>
    <row r="12" spans="2:26" x14ac:dyDescent="0.25">
      <c r="B12" t="s">
        <v>67</v>
      </c>
      <c r="F12" s="14">
        <f>'Capital de Giro'!F11</f>
        <v>0</v>
      </c>
      <c r="G12" s="14">
        <f>'Capital de Giro'!G11</f>
        <v>239342.46575342465</v>
      </c>
      <c r="H12" s="14">
        <f>'Capital de Giro'!H11</f>
        <v>261361.97260273976</v>
      </c>
      <c r="I12" s="14">
        <f>'Capital de Giro'!I11</f>
        <v>285407.27408219193</v>
      </c>
      <c r="J12" s="14">
        <f>'Capital de Giro'!J11</f>
        <v>311664.74329775351</v>
      </c>
      <c r="K12" s="14">
        <f>'Capital de Giro'!K11</f>
        <v>340337.8996811469</v>
      </c>
      <c r="L12" s="14">
        <f>'Capital de Giro'!L11</f>
        <v>371648.98645181238</v>
      </c>
      <c r="M12" s="14">
        <f>'Capital de Giro'!M11</f>
        <v>405840.69320537912</v>
      </c>
      <c r="N12" s="14">
        <f>'Capital de Giro'!N11</f>
        <v>443178.03698027396</v>
      </c>
      <c r="O12" s="14">
        <f>'Capital de Giro'!O11</f>
        <v>483950.41638245923</v>
      </c>
      <c r="P12" s="14">
        <f>'Capital de Giro'!P11</f>
        <v>528473.8546896457</v>
      </c>
      <c r="Q12" s="14">
        <f>'Capital de Giro'!Q11</f>
        <v>577093.44932109304</v>
      </c>
      <c r="R12" s="14">
        <f>'Capital de Giro'!R11</f>
        <v>630186.04665863363</v>
      </c>
      <c r="S12" s="14">
        <f>'Capital de Giro'!S11</f>
        <v>688163.16295122798</v>
      </c>
      <c r="T12" s="14">
        <f>'Capital de Giro'!T11</f>
        <v>751474.17394274101</v>
      </c>
      <c r="U12" s="14">
        <f>'Capital de Giro'!U11</f>
        <v>820609.79794547323</v>
      </c>
      <c r="V12" s="14">
        <f>'Capital de Giro'!V11</f>
        <v>896105.89935645671</v>
      </c>
      <c r="W12" s="14">
        <f>'Capital de Giro'!W11</f>
        <v>978547.64209725079</v>
      </c>
      <c r="X12" s="14">
        <f>'Capital de Giro'!X11</f>
        <v>1068574.0251701979</v>
      </c>
      <c r="Y12" s="14">
        <f>'Capital de Giro'!Y11</f>
        <v>1166882.8354858565</v>
      </c>
      <c r="Z12" s="14">
        <f>'Capital de Giro'!Z11</f>
        <v>1274236.0563505553</v>
      </c>
    </row>
    <row r="13" spans="2:26" x14ac:dyDescent="0.25">
      <c r="B13" t="s">
        <v>70</v>
      </c>
      <c r="F13" s="14">
        <f>'Capital de Giro'!F12</f>
        <v>0</v>
      </c>
      <c r="G13" s="14">
        <f>'Capital de Giro'!G12</f>
        <v>120668.49315068492</v>
      </c>
      <c r="H13" s="14">
        <f>'Capital de Giro'!H12</f>
        <v>128399.25479452054</v>
      </c>
      <c r="I13" s="14">
        <f>'Capital de Giro'!I12</f>
        <v>136706.41692054796</v>
      </c>
      <c r="J13" s="14">
        <f>'Capital de Giro'!J12</f>
        <v>145637.61518956715</v>
      </c>
      <c r="K13" s="14">
        <f>'Capital de Giro'!K12</f>
        <v>155244.65201582926</v>
      </c>
      <c r="L13" s="14">
        <f>'Capital de Giro'!L12</f>
        <v>165583.87127926032</v>
      </c>
      <c r="M13" s="14">
        <f>'Capital de Giro'!M12</f>
        <v>176716.56716604609</v>
      </c>
      <c r="N13" s="14">
        <f>'Capital de Giro'!N12</f>
        <v>188709.43026357985</v>
      </c>
      <c r="O13" s="14">
        <f>'Capital de Giro'!O12</f>
        <v>201635.03432281711</v>
      </c>
      <c r="P13" s="14">
        <f>'Capital de Giro'!P12</f>
        <v>215572.36741450365</v>
      </c>
      <c r="Q13" s="14">
        <f>'Capital de Giro'!Q12</f>
        <v>230607.41154798478</v>
      </c>
      <c r="R13" s="14">
        <f>'Capital de Giro'!R12</f>
        <v>246833.77519500014</v>
      </c>
      <c r="S13" s="14">
        <f>'Capital de Giro'!S12</f>
        <v>264353.38356892503</v>
      </c>
      <c r="T13" s="14">
        <f>'Capital de Giro'!T12</f>
        <v>283277.23195549019</v>
      </c>
      <c r="U13" s="14">
        <f>'Capital de Giro'!U12</f>
        <v>303726.20787754841</v>
      </c>
      <c r="V13" s="14">
        <f>'Capital de Giro'!V12</f>
        <v>325831.98840772209</v>
      </c>
      <c r="W13" s="14">
        <f>'Capital de Giro'!W12</f>
        <v>349738.0195228894</v>
      </c>
      <c r="X13" s="14">
        <f>'Capital de Giro'!X12</f>
        <v>375600.58502791834</v>
      </c>
      <c r="Y13" s="14">
        <f>'Capital de Giro'!Y12</f>
        <v>403589.97326776682</v>
      </c>
      <c r="Z13" s="14">
        <f>'Capital de Giro'!Z12</f>
        <v>433891.75060237246</v>
      </c>
    </row>
    <row r="14" spans="2:26" x14ac:dyDescent="0.25">
      <c r="B14" t="s">
        <v>143</v>
      </c>
      <c r="F14" s="14">
        <f>DRE!F93</f>
        <v>243712.00000000015</v>
      </c>
      <c r="G14" s="14">
        <f ca="1">DRE!G93</f>
        <v>785817.13920000033</v>
      </c>
      <c r="H14" s="14">
        <f ca="1">DRE!H93</f>
        <v>1152660.1592627196</v>
      </c>
      <c r="I14" s="14">
        <f ca="1">DRE!I93</f>
        <v>1219004.7128104942</v>
      </c>
      <c r="J14" s="14">
        <f ca="1">DRE!J93</f>
        <v>1139188.5702350212</v>
      </c>
      <c r="K14" s="14">
        <f ca="1">DRE!K93</f>
        <v>949108.42959041079</v>
      </c>
      <c r="L14" s="14">
        <f ca="1">DRE!L93</f>
        <v>637151.86144987447</v>
      </c>
      <c r="M14" s="14">
        <f ca="1">DRE!M93</f>
        <v>190536.33203060157</v>
      </c>
      <c r="N14" s="14">
        <f ca="1">DRE!N93</f>
        <v>0</v>
      </c>
      <c r="O14" s="14">
        <f ca="1">DRE!O93</f>
        <v>0</v>
      </c>
      <c r="P14" s="14">
        <f ca="1">DRE!P93</f>
        <v>0</v>
      </c>
      <c r="Q14" s="14">
        <f ca="1">DRE!Q93</f>
        <v>0</v>
      </c>
      <c r="R14" s="14">
        <f ca="1">DRE!R93</f>
        <v>0</v>
      </c>
      <c r="S14" s="14">
        <f ca="1">DRE!S93</f>
        <v>0</v>
      </c>
      <c r="T14" s="14">
        <f ca="1">DRE!T93</f>
        <v>0</v>
      </c>
      <c r="U14" s="14">
        <f ca="1">DRE!U93</f>
        <v>0</v>
      </c>
      <c r="V14" s="14">
        <f ca="1">DRE!V93</f>
        <v>0</v>
      </c>
      <c r="W14" s="14">
        <f ca="1">DRE!W93</f>
        <v>0</v>
      </c>
      <c r="X14" s="14">
        <f ca="1">DRE!X93</f>
        <v>0</v>
      </c>
      <c r="Y14" s="14">
        <f ca="1">DRE!Y93</f>
        <v>0</v>
      </c>
      <c r="Z14" s="14">
        <f ca="1">DRE!Z93</f>
        <v>0</v>
      </c>
    </row>
    <row r="15" spans="2:26" x14ac:dyDescent="0.25">
      <c r="B15" t="s">
        <v>82</v>
      </c>
      <c r="F15" s="14">
        <f>Investimentos!F14</f>
        <v>20000000</v>
      </c>
      <c r="G15" s="14">
        <f ca="1">Investimentos!G14</f>
        <v>19000000</v>
      </c>
      <c r="H15" s="14">
        <f ca="1">Investimentos!H14</f>
        <v>17900000</v>
      </c>
      <c r="I15" s="14">
        <f ca="1">Investimentos!I14</f>
        <v>16700000</v>
      </c>
      <c r="J15" s="14">
        <f ca="1">Investimentos!J14</f>
        <v>15400000</v>
      </c>
      <c r="K15" s="14">
        <f ca="1">Investimentos!K14</f>
        <v>14000000</v>
      </c>
      <c r="L15" s="14">
        <f ca="1">Investimentos!L14</f>
        <v>12500000</v>
      </c>
      <c r="M15" s="14">
        <f ca="1">Investimentos!M14</f>
        <v>10900000</v>
      </c>
      <c r="N15" s="14">
        <f ca="1">Investimentos!N14</f>
        <v>9200000</v>
      </c>
      <c r="O15" s="14">
        <f ca="1">Investimentos!O14</f>
        <v>7400000</v>
      </c>
      <c r="P15" s="14">
        <f ca="1">Investimentos!P14</f>
        <v>5500000</v>
      </c>
      <c r="Q15" s="14">
        <f ca="1">Investimentos!Q14</f>
        <v>5500000</v>
      </c>
      <c r="R15" s="14">
        <f ca="1">Investimentos!R14</f>
        <v>5500000</v>
      </c>
      <c r="S15" s="14">
        <f ca="1">Investimentos!S14</f>
        <v>5500000</v>
      </c>
      <c r="T15" s="14">
        <f ca="1">Investimentos!T14</f>
        <v>5500000</v>
      </c>
      <c r="U15" s="14">
        <f ca="1">Investimentos!U14</f>
        <v>5500000</v>
      </c>
      <c r="V15" s="14">
        <f ca="1">Investimentos!V14</f>
        <v>5500000</v>
      </c>
      <c r="W15" s="14">
        <f ca="1">Investimentos!W14</f>
        <v>5500000</v>
      </c>
      <c r="X15" s="14">
        <f ca="1">Investimentos!X14</f>
        <v>5500000</v>
      </c>
      <c r="Y15" s="14">
        <f ca="1">Investimentos!Y14</f>
        <v>5500000</v>
      </c>
      <c r="Z15" s="14">
        <f ca="1">Investimentos!Z14</f>
        <v>5500000</v>
      </c>
    </row>
    <row r="16" spans="2:26" x14ac:dyDescent="0.25"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2:26" x14ac:dyDescent="0.25">
      <c r="B17" s="3" t="s">
        <v>81</v>
      </c>
      <c r="C17" s="3"/>
      <c r="D17" s="3"/>
      <c r="E17" s="3"/>
      <c r="F17" s="24">
        <f ca="1">SUM(F19:F20)</f>
        <v>14716800</v>
      </c>
      <c r="G17" s="24">
        <f ca="1">SUM(G19:G20)</f>
        <v>15795834.003287671</v>
      </c>
      <c r="H17" s="24">
        <f ca="1">SUM(H19:H20)</f>
        <v>12655345.032767126</v>
      </c>
      <c r="I17" s="24">
        <f ca="1">SUM(I19:I20)</f>
        <v>9515084.5727561675</v>
      </c>
      <c r="J17" s="24">
        <f ca="1">SUM(J19:J20)</f>
        <v>6375068.7864298988</v>
      </c>
      <c r="K17" s="24">
        <f ca="1">SUM(K19:K20)</f>
        <v>3235315.1295838603</v>
      </c>
      <c r="L17" s="24">
        <f ca="1">SUM(L19:L20)</f>
        <v>95842.461779442281</v>
      </c>
      <c r="M17" s="24">
        <f ca="1">SUM(M19:M20)</f>
        <v>100964.54340365282</v>
      </c>
      <c r="N17" s="24">
        <f ca="1">SUM(N19:N20)</f>
        <v>106410.03954291079</v>
      </c>
      <c r="O17" s="24">
        <f ca="1">SUM(O19:O20)</f>
        <v>112202.79165282543</v>
      </c>
      <c r="P17" s="24">
        <f ca="1">SUM(P19:P20)</f>
        <v>118368.59809573086</v>
      </c>
      <c r="Q17" s="24">
        <f ca="1">SUM(Q19:Q20)</f>
        <v>124935.38471581742</v>
      </c>
      <c r="R17" s="24">
        <f ca="1">SUM(R19:R20)</f>
        <v>131933.39072876316</v>
      </c>
      <c r="S17" s="24">
        <f ca="1">SUM(S19:S20)</f>
        <v>139395.37131966354</v>
      </c>
      <c r="T17" s="24">
        <f ca="1">SUM(T19:T20)</f>
        <v>147356.81847068088</v>
      </c>
      <c r="U17" s="24">
        <f ca="1">SUM(U19:U20)</f>
        <v>155856.20167917616</v>
      </c>
      <c r="V17" s="24">
        <f ca="1">SUM(V19:V20)</f>
        <v>164935.23037922077</v>
      </c>
      <c r="W17" s="24">
        <f ca="1">SUM(W19:W20)</f>
        <v>174639.14004549189</v>
      </c>
      <c r="X17" s="24">
        <f ca="1">SUM(X19:X20)</f>
        <v>185017.00413991528</v>
      </c>
      <c r="Y17" s="24">
        <f ca="1">SUM(Y19:Y20)</f>
        <v>196122.07425943512</v>
      </c>
      <c r="Z17" s="24">
        <f ca="1">SUM(Z19:Z20)</f>
        <v>208012.15105949671</v>
      </c>
    </row>
    <row r="18" spans="2:26" x14ac:dyDescent="0.25"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2:26" x14ac:dyDescent="0.25">
      <c r="B19" t="s">
        <v>68</v>
      </c>
      <c r="F19" s="14">
        <f>'Capital de Giro'!F13</f>
        <v>0</v>
      </c>
      <c r="G19" s="14">
        <f>'Capital de Giro'!G13</f>
        <v>74367.123287671231</v>
      </c>
      <c r="H19" s="14">
        <f>'Capital de Giro'!H13</f>
        <v>78171.528767123295</v>
      </c>
      <c r="I19" s="14">
        <f>'Capital de Giro'!I13</f>
        <v>82204.44475616439</v>
      </c>
      <c r="J19" s="14">
        <f>'Capital de Giro'!J13</f>
        <v>86482.034429895895</v>
      </c>
      <c r="K19" s="14">
        <f>'Capital de Giro'!K13</f>
        <v>91021.753583857295</v>
      </c>
      <c r="L19" s="14">
        <f>'Capital de Giro'!L13</f>
        <v>95842.461779439574</v>
      </c>
      <c r="M19" s="14">
        <f>'Capital de Giro'!M13</f>
        <v>100964.54340365011</v>
      </c>
      <c r="N19" s="14">
        <f>'Capital de Giro'!N13</f>
        <v>106410.03954290808</v>
      </c>
      <c r="O19" s="14">
        <f>'Capital de Giro'!O13</f>
        <v>112202.79165282272</v>
      </c>
      <c r="P19" s="14">
        <f>'Capital de Giro'!P13</f>
        <v>118368.59809572816</v>
      </c>
      <c r="Q19" s="14">
        <f>'Capital de Giro'!Q13</f>
        <v>124935.38471581471</v>
      </c>
      <c r="R19" s="14">
        <f>'Capital de Giro'!R13</f>
        <v>131933.39072876045</v>
      </c>
      <c r="S19" s="14">
        <f>'Capital de Giro'!S13</f>
        <v>139395.37131966083</v>
      </c>
      <c r="T19" s="14">
        <f>'Capital de Giro'!T13</f>
        <v>147356.81847067818</v>
      </c>
      <c r="U19" s="14">
        <f>'Capital de Giro'!U13</f>
        <v>155856.20167917345</v>
      </c>
      <c r="V19" s="14">
        <f>'Capital de Giro'!V13</f>
        <v>164935.23037921806</v>
      </c>
      <c r="W19" s="14">
        <f>'Capital de Giro'!W13</f>
        <v>174639.14004548918</v>
      </c>
      <c r="X19" s="14">
        <f>'Capital de Giro'!X13</f>
        <v>185017.00413991258</v>
      </c>
      <c r="Y19" s="14">
        <f>'Capital de Giro'!Y13</f>
        <v>196122.07425943241</v>
      </c>
      <c r="Z19" s="14">
        <f>'Capital de Giro'!Z13</f>
        <v>208012.151059494</v>
      </c>
    </row>
    <row r="20" spans="2:26" x14ac:dyDescent="0.25">
      <c r="B20" t="s">
        <v>83</v>
      </c>
      <c r="F20" s="14">
        <f ca="1">Dívida!F16</f>
        <v>14716800</v>
      </c>
      <c r="G20" s="14">
        <f ca="1">Dívida!G16</f>
        <v>15721466.880000001</v>
      </c>
      <c r="H20" s="14">
        <f ca="1">Dívida!H16</f>
        <v>12577173.504000003</v>
      </c>
      <c r="I20" s="14">
        <f ca="1">Dívida!I16</f>
        <v>9432880.1280000024</v>
      </c>
      <c r="J20" s="14">
        <f ca="1">Dívida!J16</f>
        <v>6288586.7520000031</v>
      </c>
      <c r="K20" s="14">
        <f ca="1">Dívida!K16</f>
        <v>3144293.376000003</v>
      </c>
      <c r="L20" s="14">
        <f ca="1">Dívida!L16</f>
        <v>2.7066562324762344E-9</v>
      </c>
      <c r="M20" s="14">
        <f ca="1">Dívida!M16</f>
        <v>2.7066562324762344E-9</v>
      </c>
      <c r="N20" s="14">
        <f ca="1">Dívida!N16</f>
        <v>2.7066562324762344E-9</v>
      </c>
      <c r="O20" s="14">
        <f ca="1">Dívida!O16</f>
        <v>2.7066562324762344E-9</v>
      </c>
      <c r="P20" s="14">
        <f ca="1">Dívida!P16</f>
        <v>2.7066562324762344E-9</v>
      </c>
      <c r="Q20" s="14">
        <f ca="1">Dívida!Q16</f>
        <v>2.7066562324762344E-9</v>
      </c>
      <c r="R20" s="14">
        <f ca="1">Dívida!R16</f>
        <v>2.7066562324762344E-9</v>
      </c>
      <c r="S20" s="14">
        <f ca="1">Dívida!S16</f>
        <v>2.7066562324762344E-9</v>
      </c>
      <c r="T20" s="14">
        <f ca="1">Dívida!T16</f>
        <v>2.7066562324762344E-9</v>
      </c>
      <c r="U20" s="14">
        <f ca="1">Dívida!U16</f>
        <v>2.7066562324762344E-9</v>
      </c>
      <c r="V20" s="14">
        <f ca="1">Dívida!V16</f>
        <v>2.7066562324762344E-9</v>
      </c>
      <c r="W20" s="14">
        <f ca="1">Dívida!W16</f>
        <v>2.7066562324762344E-9</v>
      </c>
      <c r="X20" s="14">
        <f ca="1">Dívida!X16</f>
        <v>2.7066562324762344E-9</v>
      </c>
      <c r="Y20" s="14">
        <f ca="1">Dívida!Y16</f>
        <v>2.7066562324762344E-9</v>
      </c>
      <c r="Z20" s="14">
        <f ca="1">Dívida!Z16</f>
        <v>2.7066562324762344E-9</v>
      </c>
    </row>
    <row r="21" spans="2:26" x14ac:dyDescent="0.25"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2:26" x14ac:dyDescent="0.25">
      <c r="B22" s="3" t="s">
        <v>84</v>
      </c>
      <c r="C22" s="3"/>
      <c r="D22" s="3"/>
      <c r="E22" s="3"/>
      <c r="F22" s="24">
        <f ca="1">SUM(F24:F25)</f>
        <v>6526912</v>
      </c>
      <c r="G22" s="24">
        <f t="shared" ref="G22:Z22" ca="1" si="3">SUM(G24:G25)</f>
        <v>5474590.2591999993</v>
      </c>
      <c r="H22" s="24">
        <f t="shared" ca="1" si="3"/>
        <v>7787076.3538928553</v>
      </c>
      <c r="I22" s="24">
        <f t="shared" ca="1" si="3"/>
        <v>9826033.831057068</v>
      </c>
      <c r="J22" s="24">
        <f t="shared" ca="1" si="3"/>
        <v>11621422.142292446</v>
      </c>
      <c r="K22" s="24">
        <f t="shared" ca="1" si="3"/>
        <v>13209375.851703528</v>
      </c>
      <c r="L22" s="24">
        <f t="shared" ca="1" si="3"/>
        <v>15227918.35143641</v>
      </c>
      <c r="M22" s="24">
        <f t="shared" ca="1" si="3"/>
        <v>18117783.541796409</v>
      </c>
      <c r="N22" s="24">
        <f t="shared" ca="1" si="3"/>
        <v>21828306.810969111</v>
      </c>
      <c r="O22" s="24">
        <f t="shared" ca="1" si="3"/>
        <v>26459577.441457268</v>
      </c>
      <c r="P22" s="24">
        <f t="shared" ca="1" si="3"/>
        <v>32121633.599323973</v>
      </c>
      <c r="Q22" s="24">
        <f t="shared" ca="1" si="3"/>
        <v>40255407.258262992</v>
      </c>
      <c r="R22" s="24">
        <f t="shared" ca="1" si="3"/>
        <v>49739757.241754919</v>
      </c>
      <c r="S22" s="24">
        <f t="shared" ca="1" si="3"/>
        <v>60720598.537575841</v>
      </c>
      <c r="T22" s="24">
        <f t="shared" ca="1" si="3"/>
        <v>73358136.791013926</v>
      </c>
      <c r="U22" s="24">
        <f t="shared" ca="1" si="3"/>
        <v>87828217.70450604</v>
      </c>
      <c r="V22" s="24">
        <f t="shared" ca="1" si="3"/>
        <v>104323801.96840666</v>
      </c>
      <c r="W22" s="24">
        <f t="shared" ca="1" si="3"/>
        <v>123056577.32720804</v>
      </c>
      <c r="X22" s="24">
        <f t="shared" ca="1" si="3"/>
        <v>144258720.45534596</v>
      </c>
      <c r="Y22" s="24">
        <f t="shared" ca="1" si="3"/>
        <v>168184822.48505238</v>
      </c>
      <c r="Z22" s="24">
        <f t="shared" ca="1" si="3"/>
        <v>195113993.30462286</v>
      </c>
    </row>
    <row r="23" spans="2:26" x14ac:dyDescent="0.25"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2:26" x14ac:dyDescent="0.25">
      <c r="B24" t="s">
        <v>85</v>
      </c>
      <c r="F24" s="14">
        <f>DRE!F86</f>
        <v>-473088.00000000023</v>
      </c>
      <c r="G24" s="14">
        <f ca="1">DRE!G86</f>
        <v>-1525409.7408000003</v>
      </c>
      <c r="H24" s="14">
        <f ca="1">DRE!H86</f>
        <v>-2237516.7797452789</v>
      </c>
      <c r="I24" s="14">
        <f ca="1">DRE!I86</f>
        <v>-2366303.2660439005</v>
      </c>
      <c r="J24" s="14">
        <f ca="1">DRE!J86</f>
        <v>-1849845.8729084868</v>
      </c>
      <c r="K24" s="14">
        <f ca="1">DRE!K86</f>
        <v>-619915.55109041941</v>
      </c>
      <c r="L24" s="14">
        <f ca="1">DRE!L86</f>
        <v>1398626.9486424627</v>
      </c>
      <c r="M24" s="14">
        <f ca="1">DRE!M86</f>
        <v>4288492.1390024628</v>
      </c>
      <c r="N24" s="14">
        <f ca="1">DRE!N86</f>
        <v>7999015.4081751639</v>
      </c>
      <c r="O24" s="14">
        <f ca="1">DRE!O86</f>
        <v>12630286.03866332</v>
      </c>
      <c r="P24" s="14">
        <f ca="1">DRE!P86</f>
        <v>18292342.196530025</v>
      </c>
      <c r="Q24" s="14">
        <f ca="1">DRE!Q86</f>
        <v>26426115.855469044</v>
      </c>
      <c r="R24" s="14">
        <f ca="1">DRE!R86</f>
        <v>35910465.838960968</v>
      </c>
      <c r="S24" s="14">
        <f ca="1">DRE!S86</f>
        <v>46891307.13478189</v>
      </c>
      <c r="T24" s="14">
        <f ca="1">DRE!T86</f>
        <v>59528845.388219982</v>
      </c>
      <c r="U24" s="14">
        <f ca="1">DRE!U86</f>
        <v>73998926.301712096</v>
      </c>
      <c r="V24" s="14">
        <f ca="1">DRE!V86</f>
        <v>90494510.565612718</v>
      </c>
      <c r="W24" s="14">
        <f ca="1">DRE!W86</f>
        <v>109227285.9244141</v>
      </c>
      <c r="X24" s="14">
        <f ca="1">DRE!X86</f>
        <v>130429429.052552</v>
      </c>
      <c r="Y24" s="14">
        <f ca="1">DRE!Y86</f>
        <v>154355531.08225843</v>
      </c>
      <c r="Z24" s="14">
        <f ca="1">DRE!Z86</f>
        <v>181284701.90182891</v>
      </c>
    </row>
    <row r="25" spans="2:26" x14ac:dyDescent="0.25">
      <c r="B25" t="s">
        <v>130</v>
      </c>
      <c r="F25" s="14">
        <f ca="1">'Fluxo de Caixa'!F40</f>
        <v>7000000</v>
      </c>
      <c r="G25" s="14">
        <f ca="1">'Fluxo de Caixa'!G40</f>
        <v>7000000</v>
      </c>
      <c r="H25" s="14">
        <f ca="1">'Fluxo de Caixa'!H40</f>
        <v>10024593.133638134</v>
      </c>
      <c r="I25" s="14">
        <f ca="1">'Fluxo de Caixa'!I40</f>
        <v>12192337.097100969</v>
      </c>
      <c r="J25" s="14">
        <f ca="1">'Fluxo de Caixa'!J40</f>
        <v>13471268.015200932</v>
      </c>
      <c r="K25" s="14">
        <f ca="1">'Fluxo de Caixa'!K40</f>
        <v>13829291.402793948</v>
      </c>
      <c r="L25" s="14">
        <f ca="1">'Fluxo de Caixa'!L40</f>
        <v>13829291.402793948</v>
      </c>
      <c r="M25" s="14">
        <f ca="1">'Fluxo de Caixa'!M40</f>
        <v>13829291.402793948</v>
      </c>
      <c r="N25" s="14">
        <f ca="1">'Fluxo de Caixa'!N40</f>
        <v>13829291.402793948</v>
      </c>
      <c r="O25" s="14">
        <f ca="1">'Fluxo de Caixa'!O40</f>
        <v>13829291.402793948</v>
      </c>
      <c r="P25" s="14">
        <f ca="1">'Fluxo de Caixa'!P40</f>
        <v>13829291.402793948</v>
      </c>
      <c r="Q25" s="14">
        <f ca="1">'Fluxo de Caixa'!Q40</f>
        <v>13829291.402793948</v>
      </c>
      <c r="R25" s="14">
        <f ca="1">'Fluxo de Caixa'!R40</f>
        <v>13829291.402793948</v>
      </c>
      <c r="S25" s="14">
        <f ca="1">'Fluxo de Caixa'!S40</f>
        <v>13829291.402793948</v>
      </c>
      <c r="T25" s="14">
        <f ca="1">'Fluxo de Caixa'!T40</f>
        <v>13829291.402793948</v>
      </c>
      <c r="U25" s="14">
        <f ca="1">'Fluxo de Caixa'!U40</f>
        <v>13829291.402793948</v>
      </c>
      <c r="V25" s="14">
        <f ca="1">'Fluxo de Caixa'!V40</f>
        <v>13829291.402793948</v>
      </c>
      <c r="W25" s="14">
        <f ca="1">'Fluxo de Caixa'!W40</f>
        <v>13829291.402793948</v>
      </c>
      <c r="X25" s="14">
        <f ca="1">'Fluxo de Caixa'!X40</f>
        <v>13829291.402793948</v>
      </c>
      <c r="Y25" s="14">
        <f ca="1">'Fluxo de Caixa'!Y40</f>
        <v>13829291.402793948</v>
      </c>
      <c r="Z25" s="14">
        <f ca="1">'Fluxo de Caixa'!Z40</f>
        <v>13829291.402793948</v>
      </c>
    </row>
    <row r="26" spans="2:26" x14ac:dyDescent="0.25"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2:26" x14ac:dyDescent="0.25"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2:26" x14ac:dyDescent="0.25">
      <c r="B28" s="30" t="s">
        <v>23</v>
      </c>
      <c r="C28" s="30"/>
      <c r="D28" s="30"/>
      <c r="E28" s="30"/>
      <c r="F28" s="31">
        <f ca="1">+F9-F17-F22</f>
        <v>0</v>
      </c>
      <c r="G28" s="31">
        <f ca="1">+G9-G17-G22</f>
        <v>0</v>
      </c>
      <c r="H28" s="31">
        <f ca="1">+H9-H17-H22</f>
        <v>0</v>
      </c>
      <c r="I28" s="31">
        <f ca="1">+I9-I17-I22</f>
        <v>0</v>
      </c>
      <c r="J28" s="31">
        <f ca="1">+J9-J17-J22</f>
        <v>0</v>
      </c>
      <c r="K28" s="31">
        <f ca="1">+K9-K17-K22</f>
        <v>0</v>
      </c>
      <c r="L28" s="31">
        <f ca="1">+L9-L17-L22</f>
        <v>-649376.09403490461</v>
      </c>
      <c r="M28" s="31">
        <f ca="1">+M9-M17-M22</f>
        <v>-5545654.492798036</v>
      </c>
      <c r="N28" s="31">
        <f ca="1">+N9-N17-N22</f>
        <v>-11102829.383268168</v>
      </c>
      <c r="O28" s="31">
        <f ca="1">+O9-O17-O22</f>
        <v>-17486194.782404818</v>
      </c>
      <c r="P28" s="31">
        <f ca="1">+P9-P17-P22</f>
        <v>-24995955.975315556</v>
      </c>
      <c r="Q28" s="31">
        <f ca="1">+Q9-Q17-Q22</f>
        <v>-33072641.78210973</v>
      </c>
      <c r="R28" s="31">
        <f ca="1">+R9-R17-R22</f>
        <v>-42494670.810630046</v>
      </c>
      <c r="S28" s="31">
        <f ca="1">+S9-S17-S22</f>
        <v>-53407477.362375349</v>
      </c>
      <c r="T28" s="31">
        <f ca="1">+T9-T17-T22</f>
        <v>-65970742.203586377</v>
      </c>
      <c r="U28" s="31">
        <f ca="1">+U9-U17-U22</f>
        <v>-80359737.900362194</v>
      </c>
      <c r="V28" s="31">
        <f ca="1">+V9-V17-V22</f>
        <v>-96766799.311021701</v>
      </c>
      <c r="W28" s="31">
        <f ca="1">+W9-W17-W22</f>
        <v>-115402930.8056334</v>
      </c>
      <c r="X28" s="31">
        <f ca="1">+X9-X17-X22</f>
        <v>-136499562.84928775</v>
      </c>
      <c r="Y28" s="31">
        <f ca="1">+Y9-Y17-Y22</f>
        <v>-160310471.7505582</v>
      </c>
      <c r="Z28" s="31">
        <f ca="1">+Z9-Z17-Z22</f>
        <v>-187113877.64872944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5849-A242-4285-BCE5-EC249BA5A1BB}">
  <dimension ref="B3:Z95"/>
  <sheetViews>
    <sheetView showGridLines="0" tabSelected="1" zoomScale="80" zoomScaleNormal="80" workbookViewId="0">
      <pane xSplit="4" ySplit="6" topLeftCell="E7" activePane="bottomRight" state="frozen"/>
      <selection activeCell="Z5" sqref="F5:Z5"/>
      <selection pane="topRight" activeCell="Z5" sqref="F5:Z5"/>
      <selection pane="bottomLeft" activeCell="Z5" sqref="F5:Z5"/>
      <selection pane="bottomRight" activeCell="L29" sqref="L29"/>
    </sheetView>
  </sheetViews>
  <sheetFormatPr defaultRowHeight="15" x14ac:dyDescent="0.25"/>
  <cols>
    <col min="2" max="2" width="35.140625" bestFit="1" customWidth="1"/>
    <col min="3" max="3" width="19.42578125" customWidth="1"/>
    <col min="4" max="4" width="25.42578125" customWidth="1"/>
    <col min="6" max="6" width="15.28515625" bestFit="1" customWidth="1"/>
    <col min="7" max="9" width="13.85546875" bestFit="1" customWidth="1"/>
    <col min="10" max="14" width="14" bestFit="1" customWidth="1"/>
    <col min="15" max="16" width="15.140625" bestFit="1" customWidth="1"/>
    <col min="17" max="22" width="15.28515625" bestFit="1" customWidth="1"/>
    <col min="23" max="26" width="16.28515625" bestFit="1" customWidth="1"/>
  </cols>
  <sheetData>
    <row r="3" spans="2:26" x14ac:dyDescent="0.25">
      <c r="F3" s="1">
        <v>0</v>
      </c>
      <c r="G3" s="1">
        <f>F3+1</f>
        <v>1</v>
      </c>
      <c r="H3" s="1">
        <f t="shared" ref="H3:Z3" si="0">G3+1</f>
        <v>2</v>
      </c>
      <c r="I3" s="1">
        <f t="shared" si="0"/>
        <v>3</v>
      </c>
      <c r="J3" s="1">
        <f t="shared" si="0"/>
        <v>4</v>
      </c>
      <c r="K3" s="1">
        <f t="shared" si="0"/>
        <v>5</v>
      </c>
      <c r="L3" s="1">
        <f t="shared" si="0"/>
        <v>6</v>
      </c>
      <c r="M3" s="1">
        <f t="shared" si="0"/>
        <v>7</v>
      </c>
      <c r="N3" s="1">
        <f t="shared" si="0"/>
        <v>8</v>
      </c>
      <c r="O3" s="1">
        <f t="shared" si="0"/>
        <v>9</v>
      </c>
      <c r="P3" s="1">
        <f t="shared" si="0"/>
        <v>10</v>
      </c>
      <c r="Q3" s="1">
        <f t="shared" si="0"/>
        <v>11</v>
      </c>
      <c r="R3" s="1">
        <f t="shared" si="0"/>
        <v>12</v>
      </c>
      <c r="S3" s="1">
        <f t="shared" si="0"/>
        <v>13</v>
      </c>
      <c r="T3" s="1">
        <f t="shared" si="0"/>
        <v>14</v>
      </c>
      <c r="U3" s="1">
        <f t="shared" si="0"/>
        <v>15</v>
      </c>
      <c r="V3" s="1">
        <f t="shared" si="0"/>
        <v>16</v>
      </c>
      <c r="W3" s="1">
        <f t="shared" si="0"/>
        <v>17</v>
      </c>
      <c r="X3" s="1">
        <f t="shared" si="0"/>
        <v>18</v>
      </c>
      <c r="Y3" s="1">
        <f t="shared" si="0"/>
        <v>19</v>
      </c>
      <c r="Z3" s="1">
        <f t="shared" si="0"/>
        <v>20</v>
      </c>
    </row>
    <row r="5" spans="2:26" x14ac:dyDescent="0.25">
      <c r="B5" t="s">
        <v>69</v>
      </c>
      <c r="C5" s="65">
        <f>Premissas!$C$4</f>
        <v>365</v>
      </c>
      <c r="F5" s="14">
        <f>$C$5</f>
        <v>365</v>
      </c>
      <c r="G5" s="14">
        <f t="shared" ref="G5:Z5" si="1">$C$5</f>
        <v>365</v>
      </c>
      <c r="H5" s="14">
        <f t="shared" si="1"/>
        <v>365</v>
      </c>
      <c r="I5" s="14">
        <f t="shared" si="1"/>
        <v>365</v>
      </c>
      <c r="J5" s="14">
        <f t="shared" si="1"/>
        <v>365</v>
      </c>
      <c r="K5" s="14">
        <f t="shared" si="1"/>
        <v>365</v>
      </c>
      <c r="L5" s="14">
        <f t="shared" si="1"/>
        <v>365</v>
      </c>
      <c r="M5" s="14">
        <f t="shared" si="1"/>
        <v>365</v>
      </c>
      <c r="N5" s="14">
        <f t="shared" si="1"/>
        <v>365</v>
      </c>
      <c r="O5" s="14">
        <f t="shared" si="1"/>
        <v>365</v>
      </c>
      <c r="P5" s="14">
        <f t="shared" si="1"/>
        <v>365</v>
      </c>
      <c r="Q5" s="14">
        <f t="shared" si="1"/>
        <v>365</v>
      </c>
      <c r="R5" s="14">
        <f t="shared" si="1"/>
        <v>365</v>
      </c>
      <c r="S5" s="14">
        <f t="shared" si="1"/>
        <v>365</v>
      </c>
      <c r="T5" s="14">
        <f t="shared" si="1"/>
        <v>365</v>
      </c>
      <c r="U5" s="14">
        <f t="shared" si="1"/>
        <v>365</v>
      </c>
      <c r="V5" s="14">
        <f t="shared" si="1"/>
        <v>365</v>
      </c>
      <c r="W5" s="14">
        <f t="shared" si="1"/>
        <v>365</v>
      </c>
      <c r="X5" s="14">
        <f t="shared" si="1"/>
        <v>365</v>
      </c>
      <c r="Y5" s="14">
        <f t="shared" si="1"/>
        <v>365</v>
      </c>
      <c r="Z5" s="14">
        <f t="shared" si="1"/>
        <v>365</v>
      </c>
    </row>
    <row r="6" spans="2:26" x14ac:dyDescent="0.25">
      <c r="B6" t="s">
        <v>14</v>
      </c>
      <c r="C6" s="22">
        <f>Premissas!C5</f>
        <v>0.04</v>
      </c>
      <c r="F6" s="6">
        <f>(1+$C$6)^F3</f>
        <v>1</v>
      </c>
      <c r="G6" s="6">
        <f>(1+$C$6)^G3</f>
        <v>1.04</v>
      </c>
      <c r="H6" s="6">
        <f>(1+$C$6)^H3</f>
        <v>1.0816000000000001</v>
      </c>
      <c r="I6" s="6">
        <f t="shared" ref="I6:Z6" si="2">(1+$C$6)^I3</f>
        <v>1.1248640000000001</v>
      </c>
      <c r="J6" s="6">
        <f t="shared" si="2"/>
        <v>1.1698585600000002</v>
      </c>
      <c r="K6" s="6">
        <f t="shared" si="2"/>
        <v>1.2166529024000003</v>
      </c>
      <c r="L6" s="6">
        <f t="shared" si="2"/>
        <v>1.2653190184960004</v>
      </c>
      <c r="M6" s="6">
        <f t="shared" si="2"/>
        <v>1.3159317792358403</v>
      </c>
      <c r="N6" s="6">
        <f t="shared" si="2"/>
        <v>1.3685690504052741</v>
      </c>
      <c r="O6" s="6">
        <f t="shared" si="2"/>
        <v>1.4233118124214852</v>
      </c>
      <c r="P6" s="6">
        <f t="shared" si="2"/>
        <v>1.4802442849183446</v>
      </c>
      <c r="Q6" s="6">
        <f t="shared" si="2"/>
        <v>1.5394540563150783</v>
      </c>
      <c r="R6" s="6">
        <f t="shared" si="2"/>
        <v>1.6010322185676817</v>
      </c>
      <c r="S6" s="6">
        <f t="shared" si="2"/>
        <v>1.6650735073103891</v>
      </c>
      <c r="T6" s="6">
        <f t="shared" si="2"/>
        <v>1.7316764476028046</v>
      </c>
      <c r="U6" s="6">
        <f t="shared" si="2"/>
        <v>1.8009435055069167</v>
      </c>
      <c r="V6" s="6">
        <f t="shared" si="2"/>
        <v>1.8729812457271937</v>
      </c>
      <c r="W6" s="6">
        <f t="shared" si="2"/>
        <v>1.9479004955562815</v>
      </c>
      <c r="X6" s="6">
        <f t="shared" si="2"/>
        <v>2.025816515378533</v>
      </c>
      <c r="Y6" s="6">
        <f t="shared" si="2"/>
        <v>2.1068491759936743</v>
      </c>
      <c r="Z6" s="6">
        <f t="shared" si="2"/>
        <v>2.1911231430334213</v>
      </c>
    </row>
    <row r="8" spans="2:26" x14ac:dyDescent="0.25"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2:26" s="29" customFormat="1" x14ac:dyDescent="0.25">
      <c r="B9" s="46" t="s">
        <v>122</v>
      </c>
      <c r="C9" s="46"/>
      <c r="D9" s="46"/>
      <c r="E9" s="46"/>
      <c r="F9" s="47">
        <f ca="1">F11+F20+F23</f>
        <v>1000000</v>
      </c>
      <c r="G9" s="47">
        <f ca="1">G11+G20+G23</f>
        <v>124596.16438356182</v>
      </c>
      <c r="H9" s="47">
        <f ca="1">H11+H20+H23</f>
        <v>-124596.16438356158</v>
      </c>
      <c r="I9" s="47">
        <f ca="1">I11+I20+I23</f>
        <v>0</v>
      </c>
      <c r="J9" s="47">
        <f ca="1">J11+J20+J23</f>
        <v>0</v>
      </c>
      <c r="K9" s="47">
        <f ca="1">K11+K20+K23</f>
        <v>0</v>
      </c>
      <c r="L9" s="47">
        <f ca="1">L11+L20+L23</f>
        <v>0</v>
      </c>
      <c r="M9" s="47">
        <f ca="1">M11+M20+M23</f>
        <v>0</v>
      </c>
      <c r="N9" s="47">
        <f ca="1">N11+N20+N23</f>
        <v>0</v>
      </c>
      <c r="O9" s="47">
        <f ca="1">O11+O20+O23</f>
        <v>0</v>
      </c>
      <c r="P9" s="47">
        <f ca="1">P11+P20+P23</f>
        <v>0</v>
      </c>
      <c r="Q9" s="47">
        <f ca="1">Q11+Q20+Q23</f>
        <v>0</v>
      </c>
      <c r="R9" s="47">
        <f ca="1">R11+R20+R23</f>
        <v>0</v>
      </c>
      <c r="S9" s="47">
        <f ca="1">S11+S20+S23</f>
        <v>0</v>
      </c>
      <c r="T9" s="47">
        <f ca="1">T11+T20+T23</f>
        <v>0</v>
      </c>
      <c r="U9" s="47">
        <f ca="1">U11+U20+U23</f>
        <v>0</v>
      </c>
      <c r="V9" s="47">
        <f ca="1">V11+V20+V23</f>
        <v>0</v>
      </c>
      <c r="W9" s="47">
        <f ca="1">W11+W20+W23</f>
        <v>0</v>
      </c>
      <c r="X9" s="47">
        <f ca="1">X11+X20+X23</f>
        <v>0</v>
      </c>
      <c r="Y9" s="47">
        <f ca="1">Y11+Y20+Y23</f>
        <v>0</v>
      </c>
      <c r="Z9" s="47">
        <f ca="1">Z11+Z20+Z23</f>
        <v>0</v>
      </c>
    </row>
    <row r="11" spans="2:26" x14ac:dyDescent="0.25">
      <c r="B11" s="44" t="s">
        <v>116</v>
      </c>
      <c r="C11" s="44"/>
      <c r="D11" s="44"/>
      <c r="E11" s="44"/>
      <c r="F11" s="45">
        <f>SUM(F12:F18)</f>
        <v>0</v>
      </c>
      <c r="G11" s="45">
        <f ca="1">SUM(G12:G18)</f>
        <v>1124596.1643835618</v>
      </c>
      <c r="H11" s="45">
        <f ca="1">SUM(H12:H18)</f>
        <v>995104.07797830389</v>
      </c>
      <c r="I11" s="45">
        <f ca="1">SUM(I12:I18)</f>
        <v>1976549.4125371655</v>
      </c>
      <c r="J11" s="45">
        <f ca="1">SUM(J12:J18)</f>
        <v>2865362.4579000375</v>
      </c>
      <c r="K11" s="45">
        <f ca="1">SUM(K12:K18)</f>
        <v>3786269.9884069837</v>
      </c>
      <c r="L11" s="45">
        <f ca="1">SUM(L12:L18)</f>
        <v>4793669.4700349048</v>
      </c>
      <c r="M11" s="45">
        <f ca="1">SUM(M12:M18)</f>
        <v>5896278.3987631314</v>
      </c>
      <c r="N11" s="45">
        <f ca="1">SUM(N12:N18)</f>
        <v>6557174.8904701322</v>
      </c>
      <c r="O11" s="45">
        <f ca="1">SUM(O12:O18)</f>
        <v>7383365.3991366504</v>
      </c>
      <c r="P11" s="45">
        <f ca="1">SUM(P12:P18)</f>
        <v>8509761.1929107383</v>
      </c>
      <c r="Q11" s="45">
        <f ca="1">SUM(Q12:Q18)</f>
        <v>9076685.806794174</v>
      </c>
      <c r="R11" s="45">
        <f ca="1">SUM(R12:R18)</f>
        <v>10422029.028520314</v>
      </c>
      <c r="S11" s="45">
        <f ca="1">SUM(S12:S18)</f>
        <v>11912806.551745299</v>
      </c>
      <c r="T11" s="45">
        <f ca="1">SUM(T12:T18)</f>
        <v>13563264.841211036</v>
      </c>
      <c r="U11" s="45">
        <f ca="1">SUM(U12:U18)</f>
        <v>15388995.696775829</v>
      </c>
      <c r="V11" s="45">
        <f ca="1">SUM(V12:V18)</f>
        <v>17407061.410659499</v>
      </c>
      <c r="W11" s="45">
        <f ca="1">SUM(W12:W18)</f>
        <v>19636131.494611688</v>
      </c>
      <c r="X11" s="45">
        <f ca="1">SUM(X12:X18)</f>
        <v>22096632.043654352</v>
      </c>
      <c r="Y11" s="45">
        <f ca="1">SUM(Y12:Y18)</f>
        <v>24810908.90127046</v>
      </c>
      <c r="Z11" s="45">
        <f ca="1">SUM(Z12:Z18)</f>
        <v>27803405.898171265</v>
      </c>
    </row>
    <row r="12" spans="2:26" x14ac:dyDescent="0.25">
      <c r="B12" s="2" t="s">
        <v>145</v>
      </c>
      <c r="C12" s="29"/>
      <c r="D12" s="29"/>
      <c r="E12" s="29"/>
      <c r="F12" s="11">
        <f>SUM(DRE!F84:F85)</f>
        <v>-473088.00000000023</v>
      </c>
      <c r="G12" s="11">
        <f ca="1">SUM(DRE!G84:G85)</f>
        <v>-1052321.7408000003</v>
      </c>
      <c r="H12" s="11">
        <f ca="1">SUM(DRE!H84:H85)</f>
        <v>-712107.03894527839</v>
      </c>
      <c r="I12" s="11">
        <f ca="1">SUM(DRE!I84:I85)</f>
        <v>-128786.48629862133</v>
      </c>
      <c r="J12" s="11">
        <f ca="1">SUM(DRE!J84:J85)</f>
        <v>516457.39313541382</v>
      </c>
      <c r="K12" s="11">
        <f ca="1">SUM(DRE!K84:K85)</f>
        <v>1229930.3218180672</v>
      </c>
      <c r="L12" s="11">
        <f ca="1">SUM(DRE!L84:L85)</f>
        <v>2018542.499732882</v>
      </c>
      <c r="M12" s="11">
        <f ca="1">SUM(DRE!M84:M85)</f>
        <v>2889865.1903600004</v>
      </c>
      <c r="N12" s="11">
        <f ca="1">SUM(DRE!N84:N85)</f>
        <v>3710523.2691727011</v>
      </c>
      <c r="O12" s="11">
        <f ca="1">SUM(DRE!O84:O85)</f>
        <v>4631270.6304881573</v>
      </c>
      <c r="P12" s="11">
        <f ca="1">SUM(DRE!P84:P85)</f>
        <v>5662056.1578667052</v>
      </c>
      <c r="Q12" s="11">
        <f ca="1">SUM(DRE!Q84:Q85)</f>
        <v>8133773.6589390161</v>
      </c>
      <c r="R12" s="11">
        <f ca="1">SUM(DRE!R84:R85)</f>
        <v>9484349.9834919237</v>
      </c>
      <c r="S12" s="11">
        <f ca="1">SUM(DRE!S84:S85)</f>
        <v>10980841.295820918</v>
      </c>
      <c r="T12" s="11">
        <f ca="1">SUM(DRE!T84:T85)</f>
        <v>12637538.253438098</v>
      </c>
      <c r="U12" s="11">
        <f ca="1">SUM(DRE!U84:U85)</f>
        <v>14470080.913492125</v>
      </c>
      <c r="V12" s="11">
        <f ca="1">SUM(DRE!V84:V85)</f>
        <v>16495584.26390061</v>
      </c>
      <c r="W12" s="11">
        <f ca="1">SUM(DRE!W84:W85)</f>
        <v>18732775.35880138</v>
      </c>
      <c r="X12" s="11">
        <f ca="1">SUM(DRE!X84:X85)</f>
        <v>21202143.128137901</v>
      </c>
      <c r="Y12" s="11">
        <f ca="1">SUM(DRE!Y84:Y85)</f>
        <v>23926102.029706448</v>
      </c>
      <c r="Z12" s="11">
        <f ca="1">SUM(DRE!Z84:Z85)</f>
        <v>26929170.819570504</v>
      </c>
    </row>
    <row r="13" spans="2:26" x14ac:dyDescent="0.25">
      <c r="B13" s="2" t="s">
        <v>144</v>
      </c>
      <c r="C13" s="29"/>
      <c r="D13" s="29"/>
      <c r="E13" s="29"/>
      <c r="F13" s="11">
        <f>-SUM(DRE!F91:F92)</f>
        <v>-243712.00000000015</v>
      </c>
      <c r="G13" s="11">
        <f ca="1">-SUM(DRE!G91:G92)</f>
        <v>-542105.13920000021</v>
      </c>
      <c r="H13" s="11">
        <f ca="1">-SUM(DRE!H91:H92)</f>
        <v>-366843.02006271924</v>
      </c>
      <c r="I13" s="11">
        <f ca="1">-SUM(DRE!I91:I92)</f>
        <v>-66344.553547774631</v>
      </c>
      <c r="J13" s="11">
        <f ca="1">-SUM(DRE!J91:J92)</f>
        <v>79816.14257547303</v>
      </c>
      <c r="K13" s="11">
        <f ca="1">-SUM(DRE!K91:K92)</f>
        <v>190080.14064461034</v>
      </c>
      <c r="L13" s="11">
        <f ca="1">-SUM(DRE!L91:L92)</f>
        <v>311956.56814053631</v>
      </c>
      <c r="M13" s="11">
        <f ca="1">-SUM(DRE!M91:M92)</f>
        <v>446615.52941927291</v>
      </c>
      <c r="N13" s="11">
        <f ca="1">-SUM(DRE!N91:N92)</f>
        <v>190536.33203060157</v>
      </c>
      <c r="O13" s="11">
        <f ca="1">-SUM(DRE!O91:O92)</f>
        <v>0</v>
      </c>
      <c r="P13" s="11">
        <f ca="1">-SUM(DRE!P91:P92)</f>
        <v>0</v>
      </c>
      <c r="Q13" s="11">
        <f ca="1">-SUM(DRE!Q91:Q92)</f>
        <v>0</v>
      </c>
      <c r="R13" s="11">
        <f ca="1">-SUM(DRE!R91:R92)</f>
        <v>0</v>
      </c>
      <c r="S13" s="11">
        <f ca="1">-SUM(DRE!S91:S92)</f>
        <v>0</v>
      </c>
      <c r="T13" s="11">
        <f ca="1">-SUM(DRE!T91:T92)</f>
        <v>0</v>
      </c>
      <c r="U13" s="11">
        <f ca="1">-SUM(DRE!U91:U92)</f>
        <v>0</v>
      </c>
      <c r="V13" s="11">
        <f ca="1">-SUM(DRE!V91:V92)</f>
        <v>0</v>
      </c>
      <c r="W13" s="11">
        <f ca="1">-SUM(DRE!W91:W92)</f>
        <v>0</v>
      </c>
      <c r="X13" s="11">
        <f ca="1">-SUM(DRE!X91:X92)</f>
        <v>0</v>
      </c>
      <c r="Y13" s="11">
        <f ca="1">-SUM(DRE!Y91:Y92)</f>
        <v>0</v>
      </c>
      <c r="Z13" s="11">
        <f ca="1">-SUM(DRE!Z91:Z92)</f>
        <v>0</v>
      </c>
    </row>
    <row r="14" spans="2:26" x14ac:dyDescent="0.25">
      <c r="B14" s="2" t="s">
        <v>123</v>
      </c>
      <c r="F14" s="14">
        <f>-'Capital de Giro'!F11</f>
        <v>0</v>
      </c>
      <c r="G14" s="14">
        <f>-'Capital de Giro'!G11+'Capital de Giro'!F11</f>
        <v>-239342.46575342465</v>
      </c>
      <c r="H14" s="14">
        <f>-'Capital de Giro'!H11+'Capital de Giro'!G11</f>
        <v>-22019.506849315105</v>
      </c>
      <c r="I14" s="14">
        <f>-'Capital de Giro'!I11+'Capital de Giro'!H11</f>
        <v>-24045.301479452173</v>
      </c>
      <c r="J14" s="14">
        <f>-'Capital de Giro'!J11+'Capital de Giro'!I11</f>
        <v>-26257.469215561578</v>
      </c>
      <c r="K14" s="14">
        <f>-'Capital de Giro'!K11+'Capital de Giro'!J11</f>
        <v>-28673.156383393391</v>
      </c>
      <c r="L14" s="14">
        <f>-'Capital de Giro'!L11+'Capital de Giro'!K11</f>
        <v>-31311.086770665483</v>
      </c>
      <c r="M14" s="14">
        <f>-'Capital de Giro'!M11+'Capital de Giro'!L11</f>
        <v>-34191.706753566745</v>
      </c>
      <c r="N14" s="14">
        <f>-'Capital de Giro'!N11+'Capital de Giro'!M11</f>
        <v>-37337.343774894834</v>
      </c>
      <c r="O14" s="14">
        <f>-'Capital de Giro'!O11+'Capital de Giro'!N11</f>
        <v>-40772.379402185266</v>
      </c>
      <c r="P14" s="14">
        <f>-'Capital de Giro'!P11+'Capital de Giro'!O11</f>
        <v>-44523.438307186472</v>
      </c>
      <c r="Q14" s="14">
        <f>-'Capital de Giro'!Q11+'Capital de Giro'!P11</f>
        <v>-48619.59463144734</v>
      </c>
      <c r="R14" s="14">
        <f>-'Capital de Giro'!R11+'Capital de Giro'!Q11</f>
        <v>-53092.597337540588</v>
      </c>
      <c r="S14" s="14">
        <f>-'Capital de Giro'!S11+'Capital de Giro'!R11</f>
        <v>-57977.11629259435</v>
      </c>
      <c r="T14" s="14">
        <f>-'Capital de Giro'!T11+'Capital de Giro'!S11</f>
        <v>-63311.010991513031</v>
      </c>
      <c r="U14" s="14">
        <f>-'Capital de Giro'!U11+'Capital de Giro'!T11</f>
        <v>-69135.62400273222</v>
      </c>
      <c r="V14" s="14">
        <f>-'Capital de Giro'!V11+'Capital de Giro'!U11</f>
        <v>-75496.10141098348</v>
      </c>
      <c r="W14" s="14">
        <f>-'Capital de Giro'!W11+'Capital de Giro'!V11</f>
        <v>-82441.742740794085</v>
      </c>
      <c r="X14" s="14">
        <f>-'Capital de Giro'!X11+'Capital de Giro'!W11</f>
        <v>-90026.383072947152</v>
      </c>
      <c r="Y14" s="14">
        <f>-'Capital de Giro'!Y11+'Capital de Giro'!X11</f>
        <v>-98308.810315658571</v>
      </c>
      <c r="Z14" s="14">
        <f>-'Capital de Giro'!Z11+'Capital de Giro'!Y11</f>
        <v>-107353.22086469876</v>
      </c>
    </row>
    <row r="15" spans="2:26" x14ac:dyDescent="0.25">
      <c r="B15" s="2" t="s">
        <v>121</v>
      </c>
      <c r="C15" s="2"/>
      <c r="F15" s="14">
        <f>'Capital de Giro'!F13</f>
        <v>0</v>
      </c>
      <c r="G15" s="14">
        <f>-'Capital de Giro'!G12+'Capital de Giro'!F12</f>
        <v>-120668.49315068492</v>
      </c>
      <c r="H15" s="14">
        <f>-'Capital de Giro'!H12+'Capital de Giro'!G12</f>
        <v>-7730.7616438356199</v>
      </c>
      <c r="I15" s="14">
        <f>-'Capital de Giro'!I12+'Capital de Giro'!H12</f>
        <v>-8307.1621260274114</v>
      </c>
      <c r="J15" s="14">
        <f>-'Capital de Giro'!J12+'Capital de Giro'!I12</f>
        <v>-8931.1982690191944</v>
      </c>
      <c r="K15" s="14">
        <f>-'Capital de Giro'!K12+'Capital de Giro'!J12</f>
        <v>-9607.036826262105</v>
      </c>
      <c r="L15" s="14">
        <f>-'Capital de Giro'!L12+'Capital de Giro'!K12</f>
        <v>-10339.219263431063</v>
      </c>
      <c r="M15" s="14">
        <f>-'Capital de Giro'!M12+'Capital de Giro'!L12</f>
        <v>-11132.695886785776</v>
      </c>
      <c r="N15" s="14">
        <f>-'Capital de Giro'!N12+'Capital de Giro'!M12</f>
        <v>-11992.863097533758</v>
      </c>
      <c r="O15" s="14">
        <f>-'Capital de Giro'!O12+'Capital de Giro'!N12</f>
        <v>-12925.604059237259</v>
      </c>
      <c r="P15" s="14">
        <f>-'Capital de Giro'!P12+'Capital de Giro'!O12</f>
        <v>-13937.333091686538</v>
      </c>
      <c r="Q15" s="14">
        <f>-'Capital de Giro'!Q12+'Capital de Giro'!P12</f>
        <v>-15035.044133481133</v>
      </c>
      <c r="R15" s="14">
        <f>-'Capital de Giro'!R12+'Capital de Giro'!Q12</f>
        <v>-16226.363647015358</v>
      </c>
      <c r="S15" s="14">
        <f>-'Capital de Giro'!S12+'Capital de Giro'!R12</f>
        <v>-17519.608373924886</v>
      </c>
      <c r="T15" s="14">
        <f>-'Capital de Giro'!T12+'Capital de Giro'!S12</f>
        <v>-18923.848386565165</v>
      </c>
      <c r="U15" s="14">
        <f>-'Capital de Giro'!U12+'Capital de Giro'!T12</f>
        <v>-20448.97592205822</v>
      </c>
      <c r="V15" s="14">
        <f>-'Capital de Giro'!V12+'Capital de Giro'!U12</f>
        <v>-22105.780530173681</v>
      </c>
      <c r="W15" s="14">
        <f>-'Capital de Giro'!W12+'Capital de Giro'!V12</f>
        <v>-23906.031115167309</v>
      </c>
      <c r="X15" s="14">
        <f>-'Capital de Giro'!X12+'Capital de Giro'!W12</f>
        <v>-25862.565505028935</v>
      </c>
      <c r="Y15" s="14">
        <f>-'Capital de Giro'!Y12+'Capital de Giro'!X12</f>
        <v>-27989.388239848486</v>
      </c>
      <c r="Z15" s="14">
        <f>-'Capital de Giro'!Z12+'Capital de Giro'!Y12</f>
        <v>-30301.777334605635</v>
      </c>
    </row>
    <row r="16" spans="2:26" x14ac:dyDescent="0.25">
      <c r="B16" s="2" t="s">
        <v>124</v>
      </c>
      <c r="F16" s="14">
        <f>+'Capital de Giro'!F13-'Capital de Giro'!E13</f>
        <v>0</v>
      </c>
      <c r="G16" s="14">
        <f>+'Capital de Giro'!G13-'Capital de Giro'!F13</f>
        <v>74367.123287671231</v>
      </c>
      <c r="H16" s="14">
        <f>+'Capital de Giro'!H13-'Capital de Giro'!G13</f>
        <v>3804.4054794520634</v>
      </c>
      <c r="I16" s="14">
        <f>+'Capital de Giro'!I13-'Capital de Giro'!H13</f>
        <v>4032.9159890410956</v>
      </c>
      <c r="J16" s="14">
        <f>+'Capital de Giro'!J13-'Capital de Giro'!I13</f>
        <v>4277.5896737315052</v>
      </c>
      <c r="K16" s="14">
        <f>+'Capital de Giro'!K13-'Capital de Giro'!J13</f>
        <v>4539.7191539613996</v>
      </c>
      <c r="L16" s="14">
        <f>+'Capital de Giro'!L13-'Capital de Giro'!K13</f>
        <v>4820.7081955822796</v>
      </c>
      <c r="M16" s="14">
        <f>+'Capital de Giro'!M13-'Capital de Giro'!L13</f>
        <v>5122.0816242105357</v>
      </c>
      <c r="N16" s="14">
        <f>+'Capital de Giro'!N13-'Capital de Giro'!M13</f>
        <v>5445.4961392579717</v>
      </c>
      <c r="O16" s="14">
        <f>+'Capital de Giro'!O13-'Capital de Giro'!N13</f>
        <v>5792.7521099146397</v>
      </c>
      <c r="P16" s="14">
        <f>+'Capital de Giro'!P13-'Capital de Giro'!O13</f>
        <v>6165.8064429054357</v>
      </c>
      <c r="Q16" s="14">
        <f>+'Capital de Giro'!Q13-'Capital de Giro'!P13</f>
        <v>6566.7866200865537</v>
      </c>
      <c r="R16" s="14">
        <f>+'Capital de Giro'!R13-'Capital de Giro'!Q13</f>
        <v>6998.0060129457415</v>
      </c>
      <c r="S16" s="14">
        <f>+'Capital de Giro'!S13-'Capital de Giro'!R13</f>
        <v>7461.9805909003771</v>
      </c>
      <c r="T16" s="14">
        <f>+'Capital de Giro'!T13-'Capital de Giro'!S13</f>
        <v>7961.4471510173462</v>
      </c>
      <c r="U16" s="14">
        <f>+'Capital de Giro'!U13-'Capital de Giro'!T13</f>
        <v>8499.3832084952737</v>
      </c>
      <c r="V16" s="14">
        <f>+'Capital de Giro'!V13-'Capital de Giro'!U13</f>
        <v>9079.0287000446115</v>
      </c>
      <c r="W16" s="14">
        <f>+'Capital de Giro'!W13-'Capital de Giro'!V13</f>
        <v>9703.9096662711236</v>
      </c>
      <c r="X16" s="14">
        <f>+'Capital de Giro'!X13-'Capital de Giro'!W13</f>
        <v>10377.864094423392</v>
      </c>
      <c r="Y16" s="14">
        <f>+'Capital de Giro'!Y13-'Capital de Giro'!X13</f>
        <v>11105.070119519834</v>
      </c>
      <c r="Z16" s="14">
        <f>+'Capital de Giro'!Z13-'Capital de Giro'!Y13</f>
        <v>11890.076800061594</v>
      </c>
    </row>
    <row r="17" spans="2:26" x14ac:dyDescent="0.25">
      <c r="B17" s="2" t="s">
        <v>155</v>
      </c>
      <c r="F17" s="14">
        <f>Dívida!F13+Dívida!F15</f>
        <v>716800.00000000035</v>
      </c>
      <c r="G17" s="14">
        <f ca="1">Dívida!G13+Dívida!G15</f>
        <v>1004666.8800000005</v>
      </c>
      <c r="H17" s="14">
        <f ca="1">Dívida!H13+Dívida!H15</f>
        <v>0</v>
      </c>
      <c r="I17" s="14">
        <f ca="1">Dívida!I13+Dívida!I15</f>
        <v>0</v>
      </c>
      <c r="J17" s="14">
        <f ca="1">Dívida!J13+Dívida!J15</f>
        <v>0</v>
      </c>
      <c r="K17" s="14">
        <f ca="1">Dívida!K13+Dívida!K15</f>
        <v>0</v>
      </c>
      <c r="L17" s="14">
        <f ca="1">Dívida!L13+Dívida!L15</f>
        <v>0</v>
      </c>
      <c r="M17" s="14">
        <f ca="1">Dívida!M13+Dívida!M15</f>
        <v>0</v>
      </c>
      <c r="N17" s="14">
        <f ca="1">Dívida!N13+Dívida!N15</f>
        <v>0</v>
      </c>
      <c r="O17" s="14">
        <f ca="1">Dívida!O13+Dívida!O15</f>
        <v>0</v>
      </c>
      <c r="P17" s="14">
        <f ca="1">Dívida!P13+Dívida!P15</f>
        <v>0</v>
      </c>
      <c r="Q17" s="14">
        <f ca="1">Dívida!Q13+Dívida!Q15</f>
        <v>0</v>
      </c>
      <c r="R17" s="14">
        <f ca="1">Dívida!R13+Dívida!R15</f>
        <v>0</v>
      </c>
      <c r="S17" s="14">
        <f ca="1">Dívida!S13+Dívida!S15</f>
        <v>0</v>
      </c>
      <c r="T17" s="14">
        <f ca="1">Dívida!T13+Dívida!T15</f>
        <v>0</v>
      </c>
      <c r="U17" s="14">
        <f ca="1">Dívida!U13+Dívida!U15</f>
        <v>0</v>
      </c>
      <c r="V17" s="14">
        <f ca="1">Dívida!V13+Dívida!V15</f>
        <v>0</v>
      </c>
      <c r="W17" s="14">
        <f ca="1">Dívida!W13+Dívida!W15</f>
        <v>0</v>
      </c>
      <c r="X17" s="14">
        <f ca="1">Dívida!X13+Dívida!X15</f>
        <v>0</v>
      </c>
      <c r="Y17" s="14">
        <f ca="1">Dívida!Y13+Dívida!Y15</f>
        <v>0</v>
      </c>
      <c r="Z17" s="14">
        <f ca="1">Dívida!Z13+Dívida!Z15</f>
        <v>0</v>
      </c>
    </row>
    <row r="18" spans="2:26" x14ac:dyDescent="0.25">
      <c r="B18" s="2" t="s">
        <v>87</v>
      </c>
      <c r="F18" s="14">
        <f>-DRE!F68</f>
        <v>0</v>
      </c>
      <c r="G18" s="14">
        <f ca="1">-DRE!G68</f>
        <v>2000000</v>
      </c>
      <c r="H18" s="14">
        <f ca="1">-DRE!H68</f>
        <v>2100000</v>
      </c>
      <c r="I18" s="14">
        <f ca="1">-DRE!I68</f>
        <v>2200000</v>
      </c>
      <c r="J18" s="14">
        <f ca="1">-DRE!J68</f>
        <v>2300000</v>
      </c>
      <c r="K18" s="14">
        <f ca="1">-DRE!K68</f>
        <v>2400000</v>
      </c>
      <c r="L18" s="14">
        <f ca="1">-DRE!L68</f>
        <v>2500000</v>
      </c>
      <c r="M18" s="14">
        <f ca="1">-DRE!M68</f>
        <v>2600000</v>
      </c>
      <c r="N18" s="14">
        <f ca="1">-DRE!N68</f>
        <v>2700000</v>
      </c>
      <c r="O18" s="14">
        <f ca="1">-DRE!O68</f>
        <v>2800000</v>
      </c>
      <c r="P18" s="14">
        <f ca="1">-DRE!P68</f>
        <v>2900000</v>
      </c>
      <c r="Q18" s="14">
        <f ca="1">-DRE!Q68</f>
        <v>1000000</v>
      </c>
      <c r="R18" s="14">
        <f ca="1">-DRE!R68</f>
        <v>1000000</v>
      </c>
      <c r="S18" s="14">
        <f ca="1">-DRE!S68</f>
        <v>1000000</v>
      </c>
      <c r="T18" s="14">
        <f ca="1">-DRE!T68</f>
        <v>1000000</v>
      </c>
      <c r="U18" s="14">
        <f ca="1">-DRE!U68</f>
        <v>1000000</v>
      </c>
      <c r="V18" s="14">
        <f ca="1">-DRE!V68</f>
        <v>1000000</v>
      </c>
      <c r="W18" s="14">
        <f ca="1">-DRE!W68</f>
        <v>1000000</v>
      </c>
      <c r="X18" s="14">
        <f ca="1">-DRE!X68</f>
        <v>1000000</v>
      </c>
      <c r="Y18" s="14">
        <f ca="1">-DRE!Y68</f>
        <v>1000000</v>
      </c>
      <c r="Z18" s="14">
        <f ca="1">-DRE!Z68</f>
        <v>1000000</v>
      </c>
    </row>
    <row r="20" spans="2:26" x14ac:dyDescent="0.25">
      <c r="B20" s="44" t="s">
        <v>117</v>
      </c>
      <c r="C20" s="44"/>
      <c r="D20" s="44"/>
      <c r="E20" s="44"/>
      <c r="F20" s="45">
        <f>F21</f>
        <v>-20000000</v>
      </c>
      <c r="G20" s="45">
        <f t="shared" ref="G20:Z20" si="3">G21</f>
        <v>-1000000</v>
      </c>
      <c r="H20" s="45">
        <f t="shared" si="3"/>
        <v>-1000000</v>
      </c>
      <c r="I20" s="45">
        <f t="shared" si="3"/>
        <v>-1000000</v>
      </c>
      <c r="J20" s="45">
        <f t="shared" si="3"/>
        <v>-1000000</v>
      </c>
      <c r="K20" s="45">
        <f t="shared" si="3"/>
        <v>-1000000</v>
      </c>
      <c r="L20" s="45">
        <f t="shared" si="3"/>
        <v>-1000000</v>
      </c>
      <c r="M20" s="45">
        <f t="shared" si="3"/>
        <v>-1000000</v>
      </c>
      <c r="N20" s="45">
        <f t="shared" si="3"/>
        <v>-1000000</v>
      </c>
      <c r="O20" s="45">
        <f t="shared" si="3"/>
        <v>-1000000</v>
      </c>
      <c r="P20" s="45">
        <f t="shared" si="3"/>
        <v>-1000000</v>
      </c>
      <c r="Q20" s="45">
        <f t="shared" si="3"/>
        <v>-1000000</v>
      </c>
      <c r="R20" s="45">
        <f t="shared" si="3"/>
        <v>-1000000</v>
      </c>
      <c r="S20" s="45">
        <f t="shared" si="3"/>
        <v>-1000000</v>
      </c>
      <c r="T20" s="45">
        <f t="shared" si="3"/>
        <v>-1000000</v>
      </c>
      <c r="U20" s="45">
        <f t="shared" si="3"/>
        <v>-1000000</v>
      </c>
      <c r="V20" s="45">
        <f t="shared" si="3"/>
        <v>-1000000</v>
      </c>
      <c r="W20" s="45">
        <f t="shared" si="3"/>
        <v>-1000000</v>
      </c>
      <c r="X20" s="45">
        <f t="shared" si="3"/>
        <v>-1000000</v>
      </c>
      <c r="Y20" s="45">
        <f t="shared" si="3"/>
        <v>-1000000</v>
      </c>
      <c r="Z20" s="45">
        <f t="shared" si="3"/>
        <v>-1000000</v>
      </c>
    </row>
    <row r="21" spans="2:26" x14ac:dyDescent="0.25">
      <c r="B21" s="2" t="s">
        <v>86</v>
      </c>
      <c r="F21" s="14">
        <f>-Investimentos!F12</f>
        <v>-20000000</v>
      </c>
      <c r="G21" s="14">
        <f>-Investimentos!G12</f>
        <v>-1000000</v>
      </c>
      <c r="H21" s="14">
        <f>-Investimentos!H12</f>
        <v>-1000000</v>
      </c>
      <c r="I21" s="14">
        <f>-Investimentos!I12</f>
        <v>-1000000</v>
      </c>
      <c r="J21" s="14">
        <f>-Investimentos!J12</f>
        <v>-1000000</v>
      </c>
      <c r="K21" s="14">
        <f>-Investimentos!K12</f>
        <v>-1000000</v>
      </c>
      <c r="L21" s="14">
        <f>-Investimentos!L12</f>
        <v>-1000000</v>
      </c>
      <c r="M21" s="14">
        <f>-Investimentos!M12</f>
        <v>-1000000</v>
      </c>
      <c r="N21" s="14">
        <f>-Investimentos!N12</f>
        <v>-1000000</v>
      </c>
      <c r="O21" s="14">
        <f>-Investimentos!O12</f>
        <v>-1000000</v>
      </c>
      <c r="P21" s="14">
        <f>-Investimentos!P12</f>
        <v>-1000000</v>
      </c>
      <c r="Q21" s="14">
        <f>-Investimentos!Q12</f>
        <v>-1000000</v>
      </c>
      <c r="R21" s="14">
        <f>-Investimentos!R12</f>
        <v>-1000000</v>
      </c>
      <c r="S21" s="14">
        <f>-Investimentos!S12</f>
        <v>-1000000</v>
      </c>
      <c r="T21" s="14">
        <f>-Investimentos!T12</f>
        <v>-1000000</v>
      </c>
      <c r="U21" s="14">
        <f>-Investimentos!U12</f>
        <v>-1000000</v>
      </c>
      <c r="V21" s="14">
        <f>-Investimentos!V12</f>
        <v>-1000000</v>
      </c>
      <c r="W21" s="14">
        <f>-Investimentos!W12</f>
        <v>-1000000</v>
      </c>
      <c r="X21" s="14">
        <f>-Investimentos!X12</f>
        <v>-1000000</v>
      </c>
      <c r="Y21" s="14">
        <f>-Investimentos!Y12</f>
        <v>-1000000</v>
      </c>
      <c r="Z21" s="14">
        <f>-Investimentos!Z12</f>
        <v>-1000000</v>
      </c>
    </row>
    <row r="23" spans="2:26" x14ac:dyDescent="0.25">
      <c r="B23" s="44" t="s">
        <v>118</v>
      </c>
      <c r="C23" s="44"/>
      <c r="D23" s="44"/>
      <c r="E23" s="44"/>
      <c r="F23" s="45">
        <f ca="1">SUM(F24:F27)</f>
        <v>21000000</v>
      </c>
      <c r="G23" s="45">
        <f ca="1">SUM(G24:G27)</f>
        <v>0</v>
      </c>
      <c r="H23" s="45">
        <f ca="1">SUM(H24:H27)</f>
        <v>-119700.24236186547</v>
      </c>
      <c r="I23" s="45">
        <f ca="1">SUM(I24:I27)</f>
        <v>-976549.41253716545</v>
      </c>
      <c r="J23" s="45">
        <f ca="1">SUM(J24:J27)</f>
        <v>-1865362.4579000375</v>
      </c>
      <c r="K23" s="45">
        <f ca="1">SUM(K24:K27)</f>
        <v>-2786269.9884069837</v>
      </c>
      <c r="L23" s="45">
        <f ca="1">SUM(L24:L27)</f>
        <v>-3793669.4700349048</v>
      </c>
      <c r="M23" s="45">
        <f ca="1">SUM(M24:M27)</f>
        <v>-4896278.3987631314</v>
      </c>
      <c r="N23" s="45">
        <f ca="1">SUM(N24:N27)</f>
        <v>-5557174.8904701322</v>
      </c>
      <c r="O23" s="45">
        <f ca="1">SUM(O24:O27)</f>
        <v>-6383365.3991366504</v>
      </c>
      <c r="P23" s="45">
        <f ca="1">SUM(P24:P27)</f>
        <v>-7509761.1929107383</v>
      </c>
      <c r="Q23" s="45">
        <f ca="1">SUM(Q24:Q27)</f>
        <v>-8076685.806794174</v>
      </c>
      <c r="R23" s="45">
        <f ca="1">SUM(R24:R27)</f>
        <v>-9422029.028520314</v>
      </c>
      <c r="S23" s="45">
        <f ca="1">SUM(S24:S27)</f>
        <v>-10912806.551745299</v>
      </c>
      <c r="T23" s="45">
        <f ca="1">SUM(T24:T27)</f>
        <v>-12563264.841211036</v>
      </c>
      <c r="U23" s="45">
        <f ca="1">SUM(U24:U27)</f>
        <v>-14388995.696775829</v>
      </c>
      <c r="V23" s="45">
        <f ca="1">SUM(V24:V27)</f>
        <v>-16407061.410659499</v>
      </c>
      <c r="W23" s="45">
        <f ca="1">SUM(W24:W27)</f>
        <v>-18636131.494611688</v>
      </c>
      <c r="X23" s="45">
        <f ca="1">SUM(X24:X27)</f>
        <v>-21096632.043654352</v>
      </c>
      <c r="Y23" s="45">
        <f ca="1">SUM(Y24:Y27)</f>
        <v>-23810908.90127046</v>
      </c>
      <c r="Z23" s="45">
        <f ca="1">SUM(Z24:Z27)</f>
        <v>-26803405.898171265</v>
      </c>
    </row>
    <row r="24" spans="2:26" x14ac:dyDescent="0.25">
      <c r="B24" s="2" t="s">
        <v>89</v>
      </c>
      <c r="F24" s="14">
        <f>Dívida!F12</f>
        <v>14000000</v>
      </c>
      <c r="G24" s="14">
        <f>Dívida!G12</f>
        <v>0</v>
      </c>
      <c r="H24" s="14">
        <f>Dívida!H12</f>
        <v>0</v>
      </c>
      <c r="I24" s="14">
        <f>Dívida!I12</f>
        <v>0</v>
      </c>
      <c r="J24" s="14">
        <f>Dívida!J12</f>
        <v>0</v>
      </c>
      <c r="K24" s="14">
        <f>Dívida!K12</f>
        <v>0</v>
      </c>
      <c r="L24" s="14">
        <f>Dívida!L12</f>
        <v>0</v>
      </c>
      <c r="M24" s="14">
        <f>Dívida!M12</f>
        <v>0</v>
      </c>
      <c r="N24" s="14">
        <f>Dívida!N12</f>
        <v>0</v>
      </c>
      <c r="O24" s="14">
        <f>Dívida!O12</f>
        <v>0</v>
      </c>
      <c r="P24" s="14">
        <f>Dívida!P12</f>
        <v>0</v>
      </c>
      <c r="Q24" s="14">
        <f>Dívida!Q12</f>
        <v>0</v>
      </c>
      <c r="R24" s="14">
        <f>Dívida!R12</f>
        <v>0</v>
      </c>
      <c r="S24" s="14">
        <f>Dívida!S12</f>
        <v>0</v>
      </c>
      <c r="T24" s="14">
        <f>Dívida!T12</f>
        <v>0</v>
      </c>
      <c r="U24" s="14">
        <f>Dívida!U12</f>
        <v>0</v>
      </c>
      <c r="V24" s="14">
        <f>Dívida!V12</f>
        <v>0</v>
      </c>
      <c r="W24" s="14">
        <f>Dívida!W12</f>
        <v>0</v>
      </c>
      <c r="X24" s="14">
        <f>Dívida!X12</f>
        <v>0</v>
      </c>
      <c r="Y24" s="14">
        <f>Dívida!Y12</f>
        <v>0</v>
      </c>
      <c r="Z24" s="14">
        <f>Dívida!Z12</f>
        <v>0</v>
      </c>
    </row>
    <row r="25" spans="2:26" x14ac:dyDescent="0.25">
      <c r="B25" s="2" t="s">
        <v>88</v>
      </c>
      <c r="F25" s="14">
        <f ca="1">Dívida!F14</f>
        <v>0</v>
      </c>
      <c r="G25" s="14">
        <f ca="1">Dívida!G14</f>
        <v>0</v>
      </c>
      <c r="H25" s="14">
        <f ca="1">Dívida!H14</f>
        <v>-3144293.3760000002</v>
      </c>
      <c r="I25" s="14">
        <f ca="1">Dívida!I14</f>
        <v>-3144293.3760000002</v>
      </c>
      <c r="J25" s="14">
        <f ca="1">Dívida!J14</f>
        <v>-3144293.3760000002</v>
      </c>
      <c r="K25" s="14">
        <f ca="1">Dívida!K14</f>
        <v>-3144293.3760000002</v>
      </c>
      <c r="L25" s="14">
        <f ca="1">Dívida!L14</f>
        <v>-3144293.3760000002</v>
      </c>
      <c r="M25" s="14">
        <f ca="1">Dívida!M14</f>
        <v>0</v>
      </c>
      <c r="N25" s="14">
        <f ca="1">Dívida!N14</f>
        <v>0</v>
      </c>
      <c r="O25" s="14">
        <f ca="1">Dívida!O14</f>
        <v>0</v>
      </c>
      <c r="P25" s="14">
        <f ca="1">Dívida!P14</f>
        <v>0</v>
      </c>
      <c r="Q25" s="14">
        <f ca="1">Dívida!Q14</f>
        <v>0</v>
      </c>
      <c r="R25" s="14">
        <f ca="1">Dívida!R14</f>
        <v>0</v>
      </c>
      <c r="S25" s="14">
        <f ca="1">Dívida!S14</f>
        <v>0</v>
      </c>
      <c r="T25" s="14">
        <f ca="1">Dívida!T14</f>
        <v>0</v>
      </c>
      <c r="U25" s="14">
        <f ca="1">Dívida!U14</f>
        <v>0</v>
      </c>
      <c r="V25" s="14">
        <f ca="1">Dívida!V14</f>
        <v>0</v>
      </c>
      <c r="W25" s="14">
        <f ca="1">Dívida!W14</f>
        <v>0</v>
      </c>
      <c r="X25" s="14">
        <f ca="1">Dívida!X14</f>
        <v>0</v>
      </c>
      <c r="Y25" s="14">
        <f ca="1">Dívida!Y14</f>
        <v>0</v>
      </c>
      <c r="Z25" s="14">
        <f ca="1">Dívida!Z14</f>
        <v>0</v>
      </c>
    </row>
    <row r="26" spans="2:26" x14ac:dyDescent="0.25">
      <c r="B26" s="2" t="s">
        <v>119</v>
      </c>
      <c r="F26" s="11">
        <f ca="1">F35</f>
        <v>7000000</v>
      </c>
      <c r="G26" s="11">
        <f ca="1">G35</f>
        <v>0</v>
      </c>
      <c r="H26" s="11">
        <f ca="1">H35</f>
        <v>3024593.1336381347</v>
      </c>
      <c r="I26" s="11">
        <f ca="1">I35</f>
        <v>2167743.9634628347</v>
      </c>
      <c r="J26" s="11">
        <f ca="1">J35</f>
        <v>1278930.9180999626</v>
      </c>
      <c r="K26" s="11">
        <f ca="1">K35</f>
        <v>358023.38759301649</v>
      </c>
      <c r="L26" s="11">
        <f ca="1">L35</f>
        <v>0</v>
      </c>
      <c r="M26" s="11">
        <f ca="1">M35</f>
        <v>0</v>
      </c>
      <c r="N26" s="11">
        <f ca="1">N35</f>
        <v>0</v>
      </c>
      <c r="O26" s="11">
        <f ca="1">O35</f>
        <v>0</v>
      </c>
      <c r="P26" s="11">
        <f ca="1">P35</f>
        <v>0</v>
      </c>
      <c r="Q26" s="11">
        <f ca="1">Q35</f>
        <v>0</v>
      </c>
      <c r="R26" s="11">
        <f ca="1">R35</f>
        <v>0</v>
      </c>
      <c r="S26" s="11">
        <f ca="1">S35</f>
        <v>0</v>
      </c>
      <c r="T26" s="11">
        <f ca="1">T35</f>
        <v>0</v>
      </c>
      <c r="U26" s="11">
        <f ca="1">U35</f>
        <v>0</v>
      </c>
      <c r="V26" s="11">
        <f ca="1">V35</f>
        <v>0</v>
      </c>
      <c r="W26" s="11">
        <f ca="1">W35</f>
        <v>0</v>
      </c>
      <c r="X26" s="11">
        <f ca="1">X35</f>
        <v>0</v>
      </c>
      <c r="Y26" s="11">
        <f ca="1">Y35</f>
        <v>0</v>
      </c>
      <c r="Z26" s="11">
        <f ca="1">Z35</f>
        <v>0</v>
      </c>
    </row>
    <row r="27" spans="2:26" x14ac:dyDescent="0.25">
      <c r="B27" s="71" t="s">
        <v>120</v>
      </c>
      <c r="F27" s="11">
        <f t="shared" ref="F27:Z27" si="4">-F42</f>
        <v>0</v>
      </c>
      <c r="G27" s="11">
        <f t="shared" ca="1" si="4"/>
        <v>0</v>
      </c>
      <c r="H27" s="11">
        <f t="shared" ca="1" si="4"/>
        <v>0</v>
      </c>
      <c r="I27" s="11">
        <f t="shared" ca="1" si="4"/>
        <v>0</v>
      </c>
      <c r="J27" s="11">
        <f t="shared" ca="1" si="4"/>
        <v>0</v>
      </c>
      <c r="K27" s="11">
        <f t="shared" ca="1" si="4"/>
        <v>0</v>
      </c>
      <c r="L27" s="11">
        <f ca="1">-L42</f>
        <v>-649376.09403490461</v>
      </c>
      <c r="M27" s="11">
        <f t="shared" ref="M27:Z27" ca="1" si="5">-M42</f>
        <v>-4896278.3987631314</v>
      </c>
      <c r="N27" s="11">
        <f t="shared" ca="1" si="5"/>
        <v>-5557174.8904701322</v>
      </c>
      <c r="O27" s="11">
        <f t="shared" ca="1" si="5"/>
        <v>-6383365.3991366504</v>
      </c>
      <c r="P27" s="11">
        <f t="shared" ca="1" si="5"/>
        <v>-7509761.1929107383</v>
      </c>
      <c r="Q27" s="11">
        <f t="shared" ca="1" si="5"/>
        <v>-8076685.806794174</v>
      </c>
      <c r="R27" s="11">
        <f t="shared" ca="1" si="5"/>
        <v>-9422029.028520314</v>
      </c>
      <c r="S27" s="11">
        <f t="shared" ca="1" si="5"/>
        <v>-10912806.551745299</v>
      </c>
      <c r="T27" s="11">
        <f t="shared" ca="1" si="5"/>
        <v>-12563264.841211036</v>
      </c>
      <c r="U27" s="11">
        <f t="shared" ca="1" si="5"/>
        <v>-14388995.696775829</v>
      </c>
      <c r="V27" s="11">
        <f t="shared" ca="1" si="5"/>
        <v>-16407061.410659499</v>
      </c>
      <c r="W27" s="11">
        <f t="shared" ca="1" si="5"/>
        <v>-18636131.494611688</v>
      </c>
      <c r="X27" s="11">
        <f t="shared" ca="1" si="5"/>
        <v>-21096632.043654352</v>
      </c>
      <c r="Y27" s="11">
        <f t="shared" ca="1" si="5"/>
        <v>-23810908.90127046</v>
      </c>
      <c r="Z27" s="11">
        <f t="shared" ca="1" si="5"/>
        <v>-26803405.898171265</v>
      </c>
    </row>
    <row r="29" spans="2:26" x14ac:dyDescent="0.25">
      <c r="B29" s="25" t="s">
        <v>90</v>
      </c>
      <c r="C29" s="25"/>
      <c r="D29" s="25"/>
      <c r="E29" s="25"/>
      <c r="F29" s="28">
        <v>0</v>
      </c>
      <c r="G29" s="28">
        <f ca="1">F33</f>
        <v>1000000</v>
      </c>
      <c r="H29" s="28">
        <f ca="1">G33</f>
        <v>1124596.1643835618</v>
      </c>
      <c r="I29" s="28">
        <f ca="1">H33</f>
        <v>1000000</v>
      </c>
      <c r="J29" s="28">
        <f ca="1">I33</f>
        <v>1000000</v>
      </c>
      <c r="K29" s="28">
        <f ca="1">J33</f>
        <v>1000000</v>
      </c>
      <c r="L29" s="28">
        <f ca="1">K33</f>
        <v>1000000</v>
      </c>
      <c r="M29" s="28">
        <f ca="1">L33</f>
        <v>1000000</v>
      </c>
      <c r="N29" s="28">
        <f ca="1">M33</f>
        <v>1000000</v>
      </c>
      <c r="O29" s="28">
        <f ca="1">N33</f>
        <v>1000000</v>
      </c>
      <c r="P29" s="28">
        <f ca="1">O33</f>
        <v>1000000</v>
      </c>
      <c r="Q29" s="28">
        <f ca="1">P33</f>
        <v>1000000</v>
      </c>
      <c r="R29" s="28">
        <f ca="1">Q33</f>
        <v>1000000</v>
      </c>
      <c r="S29" s="28">
        <f ca="1">R33</f>
        <v>1000000</v>
      </c>
      <c r="T29" s="28">
        <f ca="1">S33</f>
        <v>1000000</v>
      </c>
      <c r="U29" s="28">
        <f ca="1">T33</f>
        <v>1000000</v>
      </c>
      <c r="V29" s="28">
        <f ca="1">U33</f>
        <v>1000000</v>
      </c>
      <c r="W29" s="28">
        <f ca="1">V33</f>
        <v>1000000</v>
      </c>
      <c r="X29" s="28">
        <f ca="1">W33</f>
        <v>1000000</v>
      </c>
      <c r="Y29" s="28">
        <f ca="1">X33</f>
        <v>1000000</v>
      </c>
      <c r="Z29" s="28">
        <f ca="1">Y33</f>
        <v>1000000</v>
      </c>
    </row>
    <row r="30" spans="2:26" x14ac:dyDescent="0.25">
      <c r="B30" s="2" t="s">
        <v>127</v>
      </c>
      <c r="F30" s="14">
        <f ca="1">+F11+F20+SUM(F24:F25)</f>
        <v>-6000000</v>
      </c>
      <c r="G30" s="14">
        <f ca="1">+G11+G20+SUM(G24:G25)</f>
        <v>124596.16438356182</v>
      </c>
      <c r="H30" s="14">
        <f ca="1">+H11+H20+SUM(H24:H25)</f>
        <v>-3149189.2980216965</v>
      </c>
      <c r="I30" s="14">
        <f ca="1">+I11+I20+SUM(I24:I25)</f>
        <v>-2167743.9634628347</v>
      </c>
      <c r="J30" s="14">
        <f ca="1">+J11+J20+SUM(J24:J25)</f>
        <v>-1278930.9180999626</v>
      </c>
      <c r="K30" s="14">
        <f ca="1">+K11+K20+SUM(K24:K25)</f>
        <v>-358023.38759301649</v>
      </c>
      <c r="L30" s="14">
        <f ca="1">+L11+L20+SUM(L24:L25)</f>
        <v>649376.09403490461</v>
      </c>
      <c r="M30" s="14">
        <f ca="1">+M11+M20+SUM(M24:M25)</f>
        <v>4896278.3987631314</v>
      </c>
      <c r="N30" s="14">
        <f ca="1">+N11+N20+SUM(N24:N25)</f>
        <v>5557174.8904701322</v>
      </c>
      <c r="O30" s="14">
        <f ca="1">+O11+O20+SUM(O24:O25)</f>
        <v>6383365.3991366504</v>
      </c>
      <c r="P30" s="14">
        <f ca="1">+P11+P20+SUM(P24:P25)</f>
        <v>7509761.1929107383</v>
      </c>
      <c r="Q30" s="14">
        <f ca="1">+Q11+Q20+SUM(Q24:Q25)</f>
        <v>8076685.806794174</v>
      </c>
      <c r="R30" s="14">
        <f ca="1">+R11+R20+SUM(R24:R25)</f>
        <v>9422029.028520314</v>
      </c>
      <c r="S30" s="14">
        <f ca="1">+S11+S20+SUM(S24:S25)</f>
        <v>10912806.551745299</v>
      </c>
      <c r="T30" s="14">
        <f ca="1">+T11+T20+SUM(T24:T25)</f>
        <v>12563264.841211036</v>
      </c>
      <c r="U30" s="14">
        <f ca="1">+U11+U20+SUM(U24:U25)</f>
        <v>14388995.696775829</v>
      </c>
      <c r="V30" s="14">
        <f ca="1">+V11+V20+SUM(V24:V25)</f>
        <v>16407061.410659499</v>
      </c>
      <c r="W30" s="14">
        <f ca="1">+W11+W20+SUM(W24:W25)</f>
        <v>18636131.494611688</v>
      </c>
      <c r="X30" s="14">
        <f ca="1">+X11+X20+SUM(X24:X25)</f>
        <v>21096632.043654352</v>
      </c>
      <c r="Y30" s="14">
        <f ca="1">+Y11+Y20+SUM(Y24:Y25)</f>
        <v>23810908.90127046</v>
      </c>
      <c r="Z30" s="14">
        <f ca="1">+Z11+Z20+SUM(Z24:Z25)</f>
        <v>26803405.898171265</v>
      </c>
    </row>
    <row r="31" spans="2:26" x14ac:dyDescent="0.25">
      <c r="B31" s="2" t="s">
        <v>119</v>
      </c>
      <c r="F31" s="14">
        <f ca="1">F26</f>
        <v>7000000</v>
      </c>
      <c r="G31" s="14">
        <f ca="1">G26</f>
        <v>0</v>
      </c>
      <c r="H31" s="14">
        <f ca="1">H26</f>
        <v>3024593.1336381347</v>
      </c>
      <c r="I31" s="14">
        <f ca="1">I26</f>
        <v>2167743.9634628347</v>
      </c>
      <c r="J31" s="14">
        <f ca="1">J26</f>
        <v>1278930.9180999626</v>
      </c>
      <c r="K31" s="14">
        <f ca="1">K26</f>
        <v>358023.38759301649</v>
      </c>
      <c r="L31" s="14">
        <f ca="1">L26</f>
        <v>0</v>
      </c>
      <c r="M31" s="14">
        <f ca="1">M26</f>
        <v>0</v>
      </c>
      <c r="N31" s="14">
        <f ca="1">N26</f>
        <v>0</v>
      </c>
      <c r="O31" s="14">
        <f ca="1">O26</f>
        <v>0</v>
      </c>
      <c r="P31" s="14">
        <f ca="1">P26</f>
        <v>0</v>
      </c>
      <c r="Q31" s="14">
        <f ca="1">Q26</f>
        <v>0</v>
      </c>
      <c r="R31" s="14">
        <f ca="1">R26</f>
        <v>0</v>
      </c>
      <c r="S31" s="14">
        <f ca="1">S26</f>
        <v>0</v>
      </c>
      <c r="T31" s="14">
        <f ca="1">T26</f>
        <v>0</v>
      </c>
      <c r="U31" s="14">
        <f ca="1">U26</f>
        <v>0</v>
      </c>
      <c r="V31" s="14">
        <f ca="1">V26</f>
        <v>0</v>
      </c>
      <c r="W31" s="14">
        <f ca="1">W26</f>
        <v>0</v>
      </c>
      <c r="X31" s="14">
        <f ca="1">X26</f>
        <v>0</v>
      </c>
      <c r="Y31" s="14">
        <f ca="1">Y26</f>
        <v>0</v>
      </c>
      <c r="Z31" s="14">
        <f ca="1">Z26</f>
        <v>0</v>
      </c>
    </row>
    <row r="32" spans="2:26" x14ac:dyDescent="0.25">
      <c r="B32" s="2" t="s">
        <v>120</v>
      </c>
      <c r="F32" s="14">
        <f t="shared" ref="F32:Z32" si="6">F27</f>
        <v>0</v>
      </c>
      <c r="G32" s="14">
        <f t="shared" ca="1" si="6"/>
        <v>0</v>
      </c>
      <c r="H32" s="14">
        <f t="shared" ca="1" si="6"/>
        <v>0</v>
      </c>
      <c r="I32" s="14">
        <f t="shared" ca="1" si="6"/>
        <v>0</v>
      </c>
      <c r="J32" s="14">
        <f t="shared" ca="1" si="6"/>
        <v>0</v>
      </c>
      <c r="K32" s="14">
        <f t="shared" ca="1" si="6"/>
        <v>0</v>
      </c>
      <c r="L32" s="14">
        <f ca="1">L27</f>
        <v>-649376.09403490461</v>
      </c>
      <c r="M32" s="14">
        <f t="shared" ref="M32:Z32" ca="1" si="7">M27</f>
        <v>-4896278.3987631314</v>
      </c>
      <c r="N32" s="14">
        <f t="shared" ca="1" si="7"/>
        <v>-5557174.8904701322</v>
      </c>
      <c r="O32" s="14">
        <f t="shared" ca="1" si="7"/>
        <v>-6383365.3991366504</v>
      </c>
      <c r="P32" s="14">
        <f t="shared" ca="1" si="7"/>
        <v>-7509761.1929107383</v>
      </c>
      <c r="Q32" s="14">
        <f t="shared" ca="1" si="7"/>
        <v>-8076685.806794174</v>
      </c>
      <c r="R32" s="14">
        <f t="shared" ca="1" si="7"/>
        <v>-9422029.028520314</v>
      </c>
      <c r="S32" s="14">
        <f t="shared" ca="1" si="7"/>
        <v>-10912806.551745299</v>
      </c>
      <c r="T32" s="14">
        <f t="shared" ca="1" si="7"/>
        <v>-12563264.841211036</v>
      </c>
      <c r="U32" s="14">
        <f t="shared" ca="1" si="7"/>
        <v>-14388995.696775829</v>
      </c>
      <c r="V32" s="14">
        <f t="shared" ca="1" si="7"/>
        <v>-16407061.410659499</v>
      </c>
      <c r="W32" s="14">
        <f t="shared" ca="1" si="7"/>
        <v>-18636131.494611688</v>
      </c>
      <c r="X32" s="14">
        <f t="shared" ca="1" si="7"/>
        <v>-21096632.043654352</v>
      </c>
      <c r="Y32" s="14">
        <f t="shared" ca="1" si="7"/>
        <v>-23810908.90127046</v>
      </c>
      <c r="Z32" s="14">
        <f t="shared" ca="1" si="7"/>
        <v>-26803405.898171265</v>
      </c>
    </row>
    <row r="33" spans="2:26" x14ac:dyDescent="0.25">
      <c r="B33" s="25" t="s">
        <v>49</v>
      </c>
      <c r="C33" s="25"/>
      <c r="D33" s="25"/>
      <c r="E33" s="25"/>
      <c r="F33" s="28">
        <f ca="1">SUM(F29:F32)</f>
        <v>1000000</v>
      </c>
      <c r="G33" s="28">
        <f ca="1">SUM(G29:G32)</f>
        <v>1124596.1643835618</v>
      </c>
      <c r="H33" s="28">
        <f ca="1">SUM(H29:H32)</f>
        <v>1000000</v>
      </c>
      <c r="I33" s="28">
        <f ca="1">SUM(I29:I32)</f>
        <v>1000000</v>
      </c>
      <c r="J33" s="28">
        <f ca="1">SUM(J29:J32)</f>
        <v>1000000</v>
      </c>
      <c r="K33" s="28">
        <f ca="1">SUM(K29:K32)</f>
        <v>1000000</v>
      </c>
      <c r="L33" s="28">
        <f ca="1">SUM(L29:L32)</f>
        <v>1000000</v>
      </c>
      <c r="M33" s="28">
        <f ca="1">SUM(M29:M32)</f>
        <v>1000000</v>
      </c>
      <c r="N33" s="28">
        <f ca="1">SUM(N29:N32)</f>
        <v>1000000</v>
      </c>
      <c r="O33" s="28">
        <f ca="1">SUM(O29:O32)</f>
        <v>1000000</v>
      </c>
      <c r="P33" s="28">
        <f ca="1">SUM(P29:P32)</f>
        <v>1000000</v>
      </c>
      <c r="Q33" s="28">
        <f ca="1">SUM(Q29:Q32)</f>
        <v>1000000</v>
      </c>
      <c r="R33" s="28">
        <f ca="1">SUM(R29:R32)</f>
        <v>1000000</v>
      </c>
      <c r="S33" s="28">
        <f ca="1">SUM(S29:S32)</f>
        <v>1000000</v>
      </c>
      <c r="T33" s="28">
        <f ca="1">SUM(T29:T32)</f>
        <v>1000000</v>
      </c>
      <c r="U33" s="28">
        <f ca="1">SUM(U29:U32)</f>
        <v>1000000</v>
      </c>
      <c r="V33" s="28">
        <f ca="1">SUM(V29:V32)</f>
        <v>1000000</v>
      </c>
      <c r="W33" s="28">
        <f ca="1">SUM(W29:W32)</f>
        <v>1000000</v>
      </c>
      <c r="X33" s="28">
        <f ca="1">SUM(X29:X32)</f>
        <v>1000000</v>
      </c>
      <c r="Y33" s="28">
        <f ca="1">SUM(Y29:Y32)</f>
        <v>1000000</v>
      </c>
      <c r="Z33" s="28">
        <f ca="1">SUM(Z29:Z32)</f>
        <v>1000000</v>
      </c>
    </row>
    <row r="34" spans="2:26" x14ac:dyDescent="0.25">
      <c r="F34" s="14"/>
      <c r="G34" s="14"/>
      <c r="H34" s="14"/>
    </row>
    <row r="35" spans="2:26" x14ac:dyDescent="0.25">
      <c r="B35" t="s">
        <v>126</v>
      </c>
      <c r="F35" s="14">
        <f ca="1">IF(SUM(F29:F30)&lt;0-$C$36,-SUM(F29:F30)+$C$36,0)</f>
        <v>7000000</v>
      </c>
      <c r="G35" s="14">
        <f ca="1">IF(SUM(G29:G30)&lt;0++$C$36,-SUM(G29:G30)+$C$36,0)</f>
        <v>0</v>
      </c>
      <c r="H35" s="14">
        <f ca="1">IF(SUM(H29:H30)&lt;0++$C$36,-SUM(H29:H30)+$C$36,0)</f>
        <v>3024593.1336381347</v>
      </c>
      <c r="I35" s="14">
        <f ca="1">IF(SUM(I29:I30)&lt;0++$C$36,-SUM(I29:I30)+$C$36,0)</f>
        <v>2167743.9634628347</v>
      </c>
      <c r="J35" s="14">
        <f ca="1">IF(SUM(J29:J30)&lt;0++$C$36,-SUM(J29:J30)+$C$36,0)</f>
        <v>1278930.9180999626</v>
      </c>
      <c r="K35" s="14">
        <f ca="1">IF(SUM(K29:K30)&lt;0++$C$36,-SUM(K29:K30)+$C$36,0)</f>
        <v>358023.38759301649</v>
      </c>
      <c r="L35" s="14">
        <f ca="1">IF(SUM(L29:L30)&lt;0++$C$36,-SUM(L29:L30)+$C$36,0)</f>
        <v>0</v>
      </c>
      <c r="M35" s="14">
        <f ca="1">IF(SUM(M29:M30)&lt;0++$C$36,-SUM(M29:M30)+$C$36,0)</f>
        <v>0</v>
      </c>
      <c r="N35" s="14">
        <f ca="1">IF(SUM(N29:N30)&lt;0++$C$36,-SUM(N29:N30)+$C$36,0)</f>
        <v>0</v>
      </c>
      <c r="O35" s="14">
        <f ca="1">IF(SUM(O29:O30)&lt;0++$C$36,-SUM(O29:O30)+$C$36,0)</f>
        <v>0</v>
      </c>
      <c r="P35" s="14">
        <f ca="1">IF(SUM(P29:P30)&lt;0++$C$36,-SUM(P29:P30)+$C$36,0)</f>
        <v>0</v>
      </c>
      <c r="Q35" s="14">
        <f ca="1">IF(SUM(Q29:Q30)&lt;0++$C$36,-SUM(Q29:Q30)+$C$36,0)</f>
        <v>0</v>
      </c>
      <c r="R35" s="14">
        <f ca="1">IF(SUM(R29:R30)&lt;0++$C$36,-SUM(R29:R30)+$C$36,0)</f>
        <v>0</v>
      </c>
      <c r="S35" s="14">
        <f ca="1">IF(SUM(S29:S30)&lt;0++$C$36,-SUM(S29:S30)+$C$36,0)</f>
        <v>0</v>
      </c>
      <c r="T35" s="14">
        <f ca="1">IF(SUM(T29:T30)&lt;0++$C$36,-SUM(T29:T30)+$C$36,0)</f>
        <v>0</v>
      </c>
      <c r="U35" s="14">
        <f ca="1">IF(SUM(U29:U30)&lt;0++$C$36,-SUM(U29:U30)+$C$36,0)</f>
        <v>0</v>
      </c>
      <c r="V35" s="14">
        <f ca="1">IF(SUM(V29:V30)&lt;0++$C$36,-SUM(V29:V30)+$C$36,0)</f>
        <v>0</v>
      </c>
      <c r="W35" s="14">
        <f ca="1">IF(SUM(W29:W30)&lt;0++$C$36,-SUM(W29:W30)+$C$36,0)</f>
        <v>0</v>
      </c>
      <c r="X35" s="14">
        <f ca="1">IF(SUM(X29:X30)&lt;0++$C$36,-SUM(X29:X30)+$C$36,0)</f>
        <v>0</v>
      </c>
      <c r="Y35" s="14">
        <f ca="1">IF(SUM(Y29:Y30)&lt;0++$C$36,-SUM(Y29:Y30)+$C$36,0)</f>
        <v>0</v>
      </c>
      <c r="Z35" s="14">
        <f ca="1">IF(SUM(Z29:Z30)&lt;0++$C$36,-SUM(Z29:Z30)+$C$36,0)</f>
        <v>0</v>
      </c>
    </row>
    <row r="36" spans="2:26" x14ac:dyDescent="0.25">
      <c r="B36" s="2" t="s">
        <v>125</v>
      </c>
      <c r="C36" s="59">
        <f>Premissas!C54</f>
        <v>1000000</v>
      </c>
      <c r="F36" s="14"/>
      <c r="G36" s="14"/>
      <c r="H36" s="14"/>
    </row>
    <row r="37" spans="2:26" x14ac:dyDescent="0.25">
      <c r="C37" s="48"/>
      <c r="F37" s="14"/>
      <c r="G37" s="14"/>
      <c r="H37" s="14"/>
    </row>
    <row r="38" spans="2:26" x14ac:dyDescent="0.25">
      <c r="B38" s="25" t="s">
        <v>128</v>
      </c>
      <c r="C38" s="25"/>
      <c r="D38" s="25"/>
      <c r="E38" s="25"/>
      <c r="F38" s="27">
        <v>0</v>
      </c>
      <c r="G38" s="28">
        <f ca="1">F40</f>
        <v>7000000</v>
      </c>
      <c r="H38" s="28">
        <f ca="1">G40</f>
        <v>7000000</v>
      </c>
      <c r="I38" s="28">
        <f ca="1">H40</f>
        <v>10024593.133638134</v>
      </c>
      <c r="J38" s="28">
        <f ca="1">I40</f>
        <v>12192337.097100969</v>
      </c>
      <c r="K38" s="28">
        <f ca="1">J40</f>
        <v>13471268.015200932</v>
      </c>
      <c r="L38" s="28">
        <f ca="1">K40</f>
        <v>13829291.402793948</v>
      </c>
      <c r="M38" s="28">
        <f ca="1">L40</f>
        <v>13829291.402793948</v>
      </c>
      <c r="N38" s="28">
        <f ca="1">M40</f>
        <v>13829291.402793948</v>
      </c>
      <c r="O38" s="28">
        <f ca="1">N40</f>
        <v>13829291.402793948</v>
      </c>
      <c r="P38" s="28">
        <f ca="1">O40</f>
        <v>13829291.402793948</v>
      </c>
      <c r="Q38" s="28">
        <f ca="1">P40</f>
        <v>13829291.402793948</v>
      </c>
      <c r="R38" s="28">
        <f ca="1">Q40</f>
        <v>13829291.402793948</v>
      </c>
      <c r="S38" s="28">
        <f ca="1">R40</f>
        <v>13829291.402793948</v>
      </c>
      <c r="T38" s="28">
        <f ca="1">S40</f>
        <v>13829291.402793948</v>
      </c>
      <c r="U38" s="28">
        <f ca="1">T40</f>
        <v>13829291.402793948</v>
      </c>
      <c r="V38" s="28">
        <f ca="1">U40</f>
        <v>13829291.402793948</v>
      </c>
      <c r="W38" s="28">
        <f ca="1">V40</f>
        <v>13829291.402793948</v>
      </c>
      <c r="X38" s="28">
        <f ca="1">W40</f>
        <v>13829291.402793948</v>
      </c>
      <c r="Y38" s="28">
        <f ca="1">X40</f>
        <v>13829291.402793948</v>
      </c>
      <c r="Z38" s="28">
        <f ca="1">Y40</f>
        <v>13829291.402793948</v>
      </c>
    </row>
    <row r="39" spans="2:26" x14ac:dyDescent="0.25">
      <c r="B39" s="2" t="s">
        <v>47</v>
      </c>
      <c r="C39" s="48"/>
      <c r="F39" s="14">
        <f ca="1">F35</f>
        <v>7000000</v>
      </c>
      <c r="G39" s="14">
        <f ca="1">G35</f>
        <v>0</v>
      </c>
      <c r="H39" s="14">
        <f ca="1">H35</f>
        <v>3024593.1336381347</v>
      </c>
      <c r="I39" s="14">
        <f ca="1">I35</f>
        <v>2167743.9634628347</v>
      </c>
      <c r="J39" s="14">
        <f ca="1">J35</f>
        <v>1278930.9180999626</v>
      </c>
      <c r="K39" s="14">
        <f ca="1">K35</f>
        <v>358023.38759301649</v>
      </c>
      <c r="L39" s="14">
        <f ca="1">L35</f>
        <v>0</v>
      </c>
      <c r="M39" s="14">
        <f ca="1">M35</f>
        <v>0</v>
      </c>
      <c r="N39" s="14">
        <f ca="1">N35</f>
        <v>0</v>
      </c>
      <c r="O39" s="14">
        <f ca="1">O35</f>
        <v>0</v>
      </c>
      <c r="P39" s="14">
        <f ca="1">P35</f>
        <v>0</v>
      </c>
      <c r="Q39" s="14">
        <f ca="1">Q35</f>
        <v>0</v>
      </c>
      <c r="R39" s="14">
        <f ca="1">R35</f>
        <v>0</v>
      </c>
      <c r="S39" s="14">
        <f ca="1">S35</f>
        <v>0</v>
      </c>
      <c r="T39" s="14">
        <f ca="1">T35</f>
        <v>0</v>
      </c>
      <c r="U39" s="14">
        <f ca="1">U35</f>
        <v>0</v>
      </c>
      <c r="V39" s="14">
        <f ca="1">V35</f>
        <v>0</v>
      </c>
      <c r="W39" s="14">
        <f ca="1">W35</f>
        <v>0</v>
      </c>
      <c r="X39" s="14">
        <f ca="1">X35</f>
        <v>0</v>
      </c>
      <c r="Y39" s="14">
        <f ca="1">Y35</f>
        <v>0</v>
      </c>
      <c r="Z39" s="14">
        <f ca="1">Z35</f>
        <v>0</v>
      </c>
    </row>
    <row r="40" spans="2:26" x14ac:dyDescent="0.25">
      <c r="B40" s="25" t="s">
        <v>129</v>
      </c>
      <c r="C40" s="25"/>
      <c r="D40" s="25"/>
      <c r="E40" s="25"/>
      <c r="F40" s="28">
        <f ca="1">SUM(F38:F39)</f>
        <v>7000000</v>
      </c>
      <c r="G40" s="28">
        <f ca="1">SUM(G38:G39)</f>
        <v>7000000</v>
      </c>
      <c r="H40" s="28">
        <f ca="1">SUM(H38:H39)</f>
        <v>10024593.133638134</v>
      </c>
      <c r="I40" s="28">
        <f ca="1">SUM(I38:I39)</f>
        <v>12192337.097100969</v>
      </c>
      <c r="J40" s="28">
        <f ca="1">SUM(J38:J39)</f>
        <v>13471268.015200932</v>
      </c>
      <c r="K40" s="28">
        <f ca="1">SUM(K38:K39)</f>
        <v>13829291.402793948</v>
      </c>
      <c r="L40" s="28">
        <f ca="1">SUM(L38:L39)</f>
        <v>13829291.402793948</v>
      </c>
      <c r="M40" s="28">
        <f ca="1">SUM(M38:M39)</f>
        <v>13829291.402793948</v>
      </c>
      <c r="N40" s="28">
        <f ca="1">SUM(N38:N39)</f>
        <v>13829291.402793948</v>
      </c>
      <c r="O40" s="28">
        <f ca="1">SUM(O38:O39)</f>
        <v>13829291.402793948</v>
      </c>
      <c r="P40" s="28">
        <f ca="1">SUM(P38:P39)</f>
        <v>13829291.402793948</v>
      </c>
      <c r="Q40" s="28">
        <f ca="1">SUM(Q38:Q39)</f>
        <v>13829291.402793948</v>
      </c>
      <c r="R40" s="28">
        <f ca="1">SUM(R38:R39)</f>
        <v>13829291.402793948</v>
      </c>
      <c r="S40" s="28">
        <f ca="1">SUM(S38:S39)</f>
        <v>13829291.402793948</v>
      </c>
      <c r="T40" s="28">
        <f ca="1">SUM(T38:T39)</f>
        <v>13829291.402793948</v>
      </c>
      <c r="U40" s="28">
        <f ca="1">SUM(U38:U39)</f>
        <v>13829291.402793948</v>
      </c>
      <c r="V40" s="28">
        <f ca="1">SUM(V38:V39)</f>
        <v>13829291.402793948</v>
      </c>
      <c r="W40" s="28">
        <f ca="1">SUM(W38:W39)</f>
        <v>13829291.402793948</v>
      </c>
      <c r="X40" s="28">
        <f ca="1">SUM(X38:X39)</f>
        <v>13829291.402793948</v>
      </c>
      <c r="Y40" s="28">
        <f ca="1">SUM(Y38:Y39)</f>
        <v>13829291.402793948</v>
      </c>
      <c r="Z40" s="28">
        <f ca="1">SUM(Z38:Z39)</f>
        <v>13829291.402793948</v>
      </c>
    </row>
    <row r="42" spans="2:26" x14ac:dyDescent="0.25">
      <c r="B42" s="69" t="s">
        <v>131</v>
      </c>
      <c r="C42" s="69"/>
      <c r="D42" s="69"/>
      <c r="E42" s="69"/>
      <c r="F42" s="70">
        <f>IF(F43&lt;0,0,IF(SUM(F29:F31)&lt;$C$36,0,IF(SUM(F29:F31)&gt;$C$36,SUM(F29:F31)-$C$36)))</f>
        <v>0</v>
      </c>
      <c r="G42" s="70">
        <f ca="1">IF(G43&lt;0,0,IF(SUM(G29:G31)&lt;$C$36,0,IF(SUM(G29:G31)&gt;$C$36,SUM(G29:G31)-$C$36)))</f>
        <v>0</v>
      </c>
      <c r="H42" s="70">
        <f ca="1">IF(H43&lt;0,0,IF(SUM(H29:H31)&lt;$C$36,0,IF(SUM(H29:H31)&gt;$C$36,SUM(H29:H31)-$C$36)))</f>
        <v>0</v>
      </c>
      <c r="I42" s="70">
        <f ca="1">IF(I43&lt;0,0,IF(SUM(I29:I31)&lt;$C$36,0,IF(SUM(I29:I31)&gt;$C$36,SUM(I29:I31)-$C$36)))</f>
        <v>0</v>
      </c>
      <c r="J42" s="70">
        <f ca="1">IF(J43&lt;0,0,IF(SUM(J29:J31)&lt;$C$36,0,IF(SUM(J29:J31)&gt;$C$36,SUM(J29:J31)-$C$36)))</f>
        <v>0</v>
      </c>
      <c r="K42" s="70">
        <f ca="1">IF(K43&lt;0,0,IF(SUM(K29:K31)&lt;$C$36,0,IF(SUM(K29:K31)&gt;$C$36,SUM(K29:K31)-$C$36)))</f>
        <v>0</v>
      </c>
      <c r="L42" s="70">
        <f ca="1">IF(L43&lt;0,0,IF(SUM(L29:L31)&lt;$C$36,0,IF(SUM(L29:L31)&gt;$C$36,SUM(L29:L31)-$C$36)))</f>
        <v>649376.09403490461</v>
      </c>
      <c r="M42" s="70">
        <f ca="1">IF(M43&lt;0,0,IF(SUM(M29:M31)&lt;$C$36,0,IF(SUM(M29:M31)&gt;$C$36,SUM(M29:M31)-$C$36)))</f>
        <v>4896278.3987631314</v>
      </c>
      <c r="N42" s="70">
        <f ca="1">IF(N43&lt;0,0,IF(SUM(N29:N31)&lt;$C$36,0,IF(SUM(N29:N31)&gt;$C$36,SUM(N29:N31)-$C$36)))</f>
        <v>5557174.8904701322</v>
      </c>
      <c r="O42" s="70">
        <f ca="1">IF(O43&lt;0,0,IF(SUM(O29:O31)&lt;$C$36,0,IF(SUM(O29:O31)&gt;$C$36,SUM(O29:O31)-$C$36)))</f>
        <v>6383365.3991366504</v>
      </c>
      <c r="P42" s="70">
        <f ca="1">IF(P43&lt;0,0,IF(SUM(P29:P31)&lt;$C$36,0,IF(SUM(P29:P31)&gt;$C$36,SUM(P29:P31)-$C$36)))</f>
        <v>7509761.1929107383</v>
      </c>
      <c r="Q42" s="70">
        <f ca="1">IF(Q43&lt;0,0,IF(SUM(Q29:Q31)&lt;$C$36,0,IF(SUM(Q29:Q31)&gt;$C$36,SUM(Q29:Q31)-$C$36)))</f>
        <v>8076685.806794174</v>
      </c>
      <c r="R42" s="70">
        <f ca="1">IF(R43&lt;0,0,IF(SUM(R29:R31)&lt;$C$36,0,IF(SUM(R29:R31)&gt;$C$36,SUM(R29:R31)-$C$36)))</f>
        <v>9422029.028520314</v>
      </c>
      <c r="S42" s="70">
        <f ca="1">IF(S43&lt;0,0,IF(SUM(S29:S31)&lt;$C$36,0,IF(SUM(S29:S31)&gt;$C$36,SUM(S29:S31)-$C$36)))</f>
        <v>10912806.551745299</v>
      </c>
      <c r="T42" s="70">
        <f ca="1">IF(T43&lt;0,0,IF(SUM(T29:T31)&lt;$C$36,0,IF(SUM(T29:T31)&gt;$C$36,SUM(T29:T31)-$C$36)))</f>
        <v>12563264.841211036</v>
      </c>
      <c r="U42" s="70">
        <f ca="1">IF(U43&lt;0,0,IF(SUM(U29:U31)&lt;$C$36,0,IF(SUM(U29:U31)&gt;$C$36,SUM(U29:U31)-$C$36)))</f>
        <v>14388995.696775829</v>
      </c>
      <c r="V42" s="70">
        <f ca="1">IF(V43&lt;0,0,IF(SUM(V29:V31)&lt;$C$36,0,IF(SUM(V29:V31)&gt;$C$36,SUM(V29:V31)-$C$36)))</f>
        <v>16407061.410659499</v>
      </c>
      <c r="W42" s="70">
        <f ca="1">IF(W43&lt;0,0,IF(SUM(W29:W31)&lt;$C$36,0,IF(SUM(W29:W31)&gt;$C$36,SUM(W29:W31)-$C$36)))</f>
        <v>18636131.494611688</v>
      </c>
      <c r="X42" s="70">
        <f ca="1">IF(X43&lt;0,0,IF(SUM(X29:X31)&lt;$C$36,0,IF(SUM(X29:X31)&gt;$C$36,SUM(X29:X31)-$C$36)))</f>
        <v>21096632.043654352</v>
      </c>
      <c r="Y42" s="70">
        <f ca="1">IF(Y43&lt;0,0,IF(SUM(Y29:Y31)&lt;$C$36,0,IF(SUM(Y29:Y31)&gt;$C$36,SUM(Y29:Y31)-$C$36)))</f>
        <v>23810908.90127046</v>
      </c>
      <c r="Z42" s="70">
        <f ca="1">IF(Z43&lt;0,0,IF(SUM(Z29:Z31)&lt;$C$36,0,IF(SUM(Z29:Z31)&gt;$C$36,SUM(Z29:Z31)-$C$36)))</f>
        <v>26803405.898171265</v>
      </c>
    </row>
    <row r="43" spans="2:26" x14ac:dyDescent="0.25">
      <c r="B43" s="62" t="s">
        <v>85</v>
      </c>
      <c r="F43" s="56">
        <f>DRE!F86</f>
        <v>-473088.00000000023</v>
      </c>
      <c r="G43" s="56">
        <f ca="1">DRE!G86</f>
        <v>-1525409.7408000003</v>
      </c>
      <c r="H43" s="56">
        <f ca="1">DRE!H86</f>
        <v>-2237516.7797452789</v>
      </c>
      <c r="I43" s="56">
        <f ca="1">DRE!I86</f>
        <v>-2366303.2660439005</v>
      </c>
      <c r="J43" s="56">
        <f ca="1">DRE!J86</f>
        <v>-1849845.8729084868</v>
      </c>
      <c r="K43" s="56">
        <f ca="1">DRE!K86</f>
        <v>-619915.55109041941</v>
      </c>
      <c r="L43" s="56">
        <f ca="1">DRE!L86</f>
        <v>1398626.9486424627</v>
      </c>
      <c r="M43" s="56">
        <f ca="1">DRE!M86</f>
        <v>4288492.1390024628</v>
      </c>
      <c r="N43" s="56">
        <f ca="1">DRE!N86</f>
        <v>7999015.4081751639</v>
      </c>
      <c r="O43" s="56">
        <f ca="1">DRE!O86</f>
        <v>12630286.03866332</v>
      </c>
      <c r="P43" s="56">
        <f ca="1">DRE!P86</f>
        <v>18292342.196530025</v>
      </c>
      <c r="Q43" s="56">
        <f ca="1">DRE!Q86</f>
        <v>26426115.855469044</v>
      </c>
      <c r="R43" s="56">
        <f ca="1">DRE!R86</f>
        <v>35910465.838960968</v>
      </c>
      <c r="S43" s="56">
        <f ca="1">DRE!S86</f>
        <v>46891307.13478189</v>
      </c>
      <c r="T43" s="56">
        <f ca="1">DRE!T86</f>
        <v>59528845.388219982</v>
      </c>
      <c r="U43" s="56">
        <f ca="1">DRE!U86</f>
        <v>73998926.301712096</v>
      </c>
      <c r="V43" s="56">
        <f ca="1">DRE!V86</f>
        <v>90494510.565612718</v>
      </c>
      <c r="W43" s="56">
        <f ca="1">DRE!W86</f>
        <v>109227285.9244141</v>
      </c>
      <c r="X43" s="56">
        <f ca="1">DRE!X86</f>
        <v>130429429.052552</v>
      </c>
      <c r="Y43" s="56">
        <f ca="1">DRE!Y86</f>
        <v>154355531.08225843</v>
      </c>
      <c r="Z43" s="56">
        <f ca="1">DRE!Z86</f>
        <v>181284701.90182891</v>
      </c>
    </row>
    <row r="45" spans="2:26" x14ac:dyDescent="0.25">
      <c r="B45" s="3" t="s">
        <v>95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7" spans="2:26" x14ac:dyDescent="0.25">
      <c r="B47" t="s">
        <v>39</v>
      </c>
      <c r="F47" s="14">
        <f>DRE!F70</f>
        <v>0</v>
      </c>
      <c r="G47" s="14">
        <f ca="1">DRE!G70</f>
        <v>-589760</v>
      </c>
      <c r="H47" s="14">
        <f ca="1">DRE!H70</f>
        <v>-5697.9199999971315</v>
      </c>
      <c r="I47" s="14">
        <f ca="1">DRE!I70</f>
        <v>663470.67136000469</v>
      </c>
      <c r="J47" s="14">
        <f ca="1">DRE!J70</f>
        <v>1426462.4851251245</v>
      </c>
      <c r="K47" s="14">
        <f ca="1">DRE!K70</f>
        <v>2292831.6462366357</v>
      </c>
      <c r="L47" s="14">
        <f ca="1">DRE!L70</f>
        <v>3273048.1546696033</v>
      </c>
      <c r="M47" s="14">
        <f ca="1">DRE!M70</f>
        <v>4378583.6217575762</v>
      </c>
      <c r="N47" s="14">
        <f ca="1">DRE!N70</f>
        <v>5622004.9532919712</v>
      </c>
      <c r="O47" s="14">
        <f ca="1">DRE!O70</f>
        <v>7017076.712860845</v>
      </c>
      <c r="P47" s="14">
        <f ca="1">DRE!P70</f>
        <v>8578872.9664647058</v>
      </c>
      <c r="Q47" s="14">
        <f ca="1">DRE!Q70</f>
        <v>12323899.483240934</v>
      </c>
      <c r="R47" s="14">
        <f ca="1">DRE!R70</f>
        <v>14370227.247715035</v>
      </c>
      <c r="S47" s="14">
        <f ca="1">DRE!S70</f>
        <v>16637638.327001393</v>
      </c>
      <c r="T47" s="14">
        <f ca="1">DRE!T70</f>
        <v>19147785.232481968</v>
      </c>
      <c r="U47" s="14">
        <f ca="1">DRE!U70</f>
        <v>21924365.020442612</v>
      </c>
      <c r="V47" s="14">
        <f ca="1">DRE!V70</f>
        <v>24993309.490758501</v>
      </c>
      <c r="W47" s="14">
        <f ca="1">DRE!W70</f>
        <v>28382992.967880879</v>
      </c>
      <c r="X47" s="14">
        <f ca="1">DRE!X70</f>
        <v>32124459.285057425</v>
      </c>
      <c r="Y47" s="14">
        <f ca="1">DRE!Y70</f>
        <v>36251669.741979465</v>
      </c>
      <c r="Z47" s="14">
        <f ca="1">DRE!Z70</f>
        <v>40801773.96904622</v>
      </c>
    </row>
    <row r="48" spans="2:26" x14ac:dyDescent="0.25">
      <c r="B48" s="2" t="s">
        <v>113</v>
      </c>
      <c r="C48" s="36">
        <f>Premissas!$C$14</f>
        <v>0.34</v>
      </c>
      <c r="F48" s="14">
        <f>F47*-$C$48</f>
        <v>0</v>
      </c>
      <c r="G48" s="14">
        <f ca="1">G47*-$C$48</f>
        <v>200518.40000000002</v>
      </c>
      <c r="H48" s="14">
        <f ca="1">H47*-$C$48</f>
        <v>1937.292799999025</v>
      </c>
      <c r="I48" s="14">
        <f ca="1">I47*-$C$48</f>
        <v>-225580.02826240161</v>
      </c>
      <c r="J48" s="14">
        <f ca="1">J47*-$C$48</f>
        <v>-484997.24494254234</v>
      </c>
      <c r="K48" s="14">
        <f ca="1">K47*-$C$48</f>
        <v>-779562.7597204562</v>
      </c>
      <c r="L48" s="14">
        <f ca="1">L47*-$C$48</f>
        <v>-1112836.3725876652</v>
      </c>
      <c r="M48" s="14">
        <f ca="1">M47*-$C$48</f>
        <v>-1488718.4313975761</v>
      </c>
      <c r="N48" s="14">
        <f ca="1">N47*-$C$48</f>
        <v>-1911481.6841192704</v>
      </c>
      <c r="O48" s="14">
        <f ca="1">O47*-$C$48</f>
        <v>-2385806.0823726873</v>
      </c>
      <c r="P48" s="14">
        <f ca="1">P47*-$C$48</f>
        <v>-2916816.8085980001</v>
      </c>
      <c r="Q48" s="14">
        <f ca="1">Q47*-$C$48</f>
        <v>-4190125.824301918</v>
      </c>
      <c r="R48" s="14">
        <f ca="1">R47*-$C$48</f>
        <v>-4885877.2642231127</v>
      </c>
      <c r="S48" s="14">
        <f ca="1">S47*-$C$48</f>
        <v>-5656797.031180474</v>
      </c>
      <c r="T48" s="14">
        <f ca="1">T47*-$C$48</f>
        <v>-6510246.9790438693</v>
      </c>
      <c r="U48" s="14">
        <f ca="1">U47*-$C$48</f>
        <v>-7454284.1069504889</v>
      </c>
      <c r="V48" s="14">
        <f ca="1">V47*-$C$48</f>
        <v>-8497725.2268578913</v>
      </c>
      <c r="W48" s="14">
        <f ca="1">W47*-$C$48</f>
        <v>-9650217.6090794988</v>
      </c>
      <c r="X48" s="14">
        <f ca="1">X47*-$C$48</f>
        <v>-10922316.156919526</v>
      </c>
      <c r="Y48" s="14">
        <f ca="1">Y47*-$C$48</f>
        <v>-12325567.712273018</v>
      </c>
      <c r="Z48" s="14">
        <f ca="1">Z47*-$C$48</f>
        <v>-13872603.149475716</v>
      </c>
    </row>
    <row r="49" spans="2:26" x14ac:dyDescent="0.25">
      <c r="B49" t="s">
        <v>114</v>
      </c>
      <c r="F49" s="14">
        <f>SUM(F47:F48)</f>
        <v>0</v>
      </c>
      <c r="G49" s="14">
        <f ca="1">SUM(G47:G48)</f>
        <v>-389241.59999999998</v>
      </c>
      <c r="H49" s="14">
        <f ca="1">SUM(H47:H48)</f>
        <v>-3760.6271999981063</v>
      </c>
      <c r="I49" s="14">
        <f ca="1">SUM(I47:I48)</f>
        <v>437890.64309760311</v>
      </c>
      <c r="J49" s="14">
        <f ca="1">SUM(J47:J48)</f>
        <v>941465.24018258206</v>
      </c>
      <c r="K49" s="14">
        <f ca="1">SUM(K47:K48)</f>
        <v>1513268.8865161794</v>
      </c>
      <c r="L49" s="14">
        <f ca="1">SUM(L47:L48)</f>
        <v>2160211.7820819383</v>
      </c>
      <c r="M49" s="14">
        <f ca="1">SUM(M47:M48)</f>
        <v>2889865.1903600004</v>
      </c>
      <c r="N49" s="14">
        <f ca="1">SUM(N47:N48)</f>
        <v>3710523.2691727011</v>
      </c>
      <c r="O49" s="14">
        <f ca="1">SUM(O47:O48)</f>
        <v>4631270.6304881573</v>
      </c>
      <c r="P49" s="14">
        <f ca="1">SUM(P47:P48)</f>
        <v>5662056.1578667052</v>
      </c>
      <c r="Q49" s="14">
        <f ca="1">SUM(Q47:Q48)</f>
        <v>8133773.6589390161</v>
      </c>
      <c r="R49" s="14">
        <f ca="1">SUM(R47:R48)</f>
        <v>9484349.9834919237</v>
      </c>
      <c r="S49" s="14">
        <f ca="1">SUM(S47:S48)</f>
        <v>10980841.295820918</v>
      </c>
      <c r="T49" s="14">
        <f ca="1">SUM(T47:T48)</f>
        <v>12637538.253438098</v>
      </c>
      <c r="U49" s="14">
        <f ca="1">SUM(U47:U48)</f>
        <v>14470080.913492125</v>
      </c>
      <c r="V49" s="14">
        <f ca="1">SUM(V47:V48)</f>
        <v>16495584.26390061</v>
      </c>
      <c r="W49" s="14">
        <f ca="1">SUM(W47:W48)</f>
        <v>18732775.35880138</v>
      </c>
      <c r="X49" s="14">
        <f ca="1">SUM(X47:X48)</f>
        <v>21202143.128137901</v>
      </c>
      <c r="Y49" s="14">
        <f ca="1">SUM(Y47:Y48)</f>
        <v>23926102.029706448</v>
      </c>
      <c r="Z49" s="14">
        <f ca="1">SUM(Z47:Z48)</f>
        <v>26929170.819570504</v>
      </c>
    </row>
    <row r="50" spans="2:26" x14ac:dyDescent="0.25">
      <c r="B50" t="s">
        <v>86</v>
      </c>
      <c r="F50" s="14">
        <f>-Investimentos!F12</f>
        <v>-20000000</v>
      </c>
      <c r="G50" s="14">
        <f>-Investimentos!G12</f>
        <v>-1000000</v>
      </c>
      <c r="H50" s="14">
        <f>-Investimentos!H12</f>
        <v>-1000000</v>
      </c>
      <c r="I50" s="14">
        <f>-Investimentos!I12</f>
        <v>-1000000</v>
      </c>
      <c r="J50" s="14">
        <f>-Investimentos!J12</f>
        <v>-1000000</v>
      </c>
      <c r="K50" s="14">
        <f>-Investimentos!K12</f>
        <v>-1000000</v>
      </c>
      <c r="L50" s="14">
        <f>-Investimentos!L12</f>
        <v>-1000000</v>
      </c>
      <c r="M50" s="14">
        <f>-Investimentos!M12</f>
        <v>-1000000</v>
      </c>
      <c r="N50" s="14">
        <f>-Investimentos!N12</f>
        <v>-1000000</v>
      </c>
      <c r="O50" s="14">
        <f>-Investimentos!O12</f>
        <v>-1000000</v>
      </c>
      <c r="P50" s="14">
        <f>-Investimentos!P12</f>
        <v>-1000000</v>
      </c>
      <c r="Q50" s="14">
        <f>-Investimentos!Q12</f>
        <v>-1000000</v>
      </c>
      <c r="R50" s="14">
        <f>-Investimentos!R12</f>
        <v>-1000000</v>
      </c>
      <c r="S50" s="14">
        <f>-Investimentos!S12</f>
        <v>-1000000</v>
      </c>
      <c r="T50" s="14">
        <f>-Investimentos!T12</f>
        <v>-1000000</v>
      </c>
      <c r="U50" s="14">
        <f>-Investimentos!U12</f>
        <v>-1000000</v>
      </c>
      <c r="V50" s="14">
        <f>-Investimentos!V12</f>
        <v>-1000000</v>
      </c>
      <c r="W50" s="14">
        <f>-Investimentos!W12</f>
        <v>-1000000</v>
      </c>
      <c r="X50" s="14">
        <f>-Investimentos!X12</f>
        <v>-1000000</v>
      </c>
      <c r="Y50" s="14">
        <f>-Investimentos!Y12</f>
        <v>-1000000</v>
      </c>
      <c r="Z50" s="14">
        <f>-Investimentos!Z12</f>
        <v>-1000000</v>
      </c>
    </row>
    <row r="51" spans="2:26" x14ac:dyDescent="0.25">
      <c r="B51" t="s">
        <v>87</v>
      </c>
      <c r="F51" s="14">
        <f>-DRE!F68</f>
        <v>0</v>
      </c>
      <c r="G51" s="14">
        <f ca="1">-DRE!G68</f>
        <v>2000000</v>
      </c>
      <c r="H51" s="14">
        <f ca="1">-DRE!H68</f>
        <v>2100000</v>
      </c>
      <c r="I51" s="14">
        <f ca="1">-DRE!I68</f>
        <v>2200000</v>
      </c>
      <c r="J51" s="14">
        <f ca="1">-DRE!J68</f>
        <v>2300000</v>
      </c>
      <c r="K51" s="14">
        <f ca="1">-DRE!K68</f>
        <v>2400000</v>
      </c>
      <c r="L51" s="14">
        <f ca="1">-DRE!L68</f>
        <v>2500000</v>
      </c>
      <c r="M51" s="14">
        <f ca="1">-DRE!M68</f>
        <v>2600000</v>
      </c>
      <c r="N51" s="14">
        <f ca="1">-DRE!N68</f>
        <v>2700000</v>
      </c>
      <c r="O51" s="14">
        <f ca="1">-DRE!O68</f>
        <v>2800000</v>
      </c>
      <c r="P51" s="14">
        <f ca="1">-DRE!P68</f>
        <v>2900000</v>
      </c>
      <c r="Q51" s="14">
        <f ca="1">-DRE!Q68</f>
        <v>1000000</v>
      </c>
      <c r="R51" s="14">
        <f ca="1">-DRE!R68</f>
        <v>1000000</v>
      </c>
      <c r="S51" s="14">
        <f ca="1">-DRE!S68</f>
        <v>1000000</v>
      </c>
      <c r="T51" s="14">
        <f ca="1">-DRE!T68</f>
        <v>1000000</v>
      </c>
      <c r="U51" s="14">
        <f ca="1">-DRE!U68</f>
        <v>1000000</v>
      </c>
      <c r="V51" s="14">
        <f ca="1">-DRE!V68</f>
        <v>1000000</v>
      </c>
      <c r="W51" s="14">
        <f ca="1">-DRE!W68</f>
        <v>1000000</v>
      </c>
      <c r="X51" s="14">
        <f ca="1">-DRE!X68</f>
        <v>1000000</v>
      </c>
      <c r="Y51" s="14">
        <f ca="1">-DRE!Y68</f>
        <v>1000000</v>
      </c>
      <c r="Z51" s="14">
        <f ca="1">-DRE!Z68</f>
        <v>1000000</v>
      </c>
    </row>
    <row r="52" spans="2:26" x14ac:dyDescent="0.25">
      <c r="B52" t="s">
        <v>115</v>
      </c>
      <c r="F52" s="14">
        <f>'Capital de Giro'!F14</f>
        <v>0</v>
      </c>
      <c r="G52" s="14">
        <f>'Capital de Giro'!G14</f>
        <v>-285643.8356164383</v>
      </c>
      <c r="H52" s="14">
        <f>'Capital de Giro'!H14</f>
        <v>-25945.863013698719</v>
      </c>
      <c r="I52" s="14">
        <f>'Capital de Giro'!I14</f>
        <v>-28319.547616438475</v>
      </c>
      <c r="J52" s="14">
        <f>'Capital de Giro'!J14</f>
        <v>-30911.077810849296</v>
      </c>
      <c r="K52" s="14">
        <f>'Capital de Giro'!K14</f>
        <v>-33740.474055694067</v>
      </c>
      <c r="L52" s="14">
        <f>'Capital de Giro'!L14</f>
        <v>-36829.597838514252</v>
      </c>
      <c r="M52" s="14">
        <f>'Capital de Giro'!M14</f>
        <v>-40202.32101614197</v>
      </c>
      <c r="N52" s="14">
        <f>'Capital de Giro'!N14</f>
        <v>-43884.710733170679</v>
      </c>
      <c r="O52" s="14">
        <f>'Capital de Giro'!O14</f>
        <v>-47905.231351507828</v>
      </c>
      <c r="P52" s="14">
        <f>'Capital de Giro'!P14</f>
        <v>-52294.964955967618</v>
      </c>
      <c r="Q52" s="14">
        <f>'Capital de Giro'!Q14</f>
        <v>-57087.85214484192</v>
      </c>
      <c r="R52" s="14">
        <f>'Capital de Giro'!R14</f>
        <v>-62320.954971610103</v>
      </c>
      <c r="S52" s="14">
        <f>'Capital de Giro'!S14</f>
        <v>-68034.744075619034</v>
      </c>
      <c r="T52" s="14">
        <f>'Capital de Giro'!T14</f>
        <v>-74273.412227060762</v>
      </c>
      <c r="U52" s="14">
        <f>'Capital de Giro'!U14</f>
        <v>-81085.216716295341</v>
      </c>
      <c r="V52" s="14">
        <f>'Capital de Giro'!V14</f>
        <v>-88522.853241112316</v>
      </c>
      <c r="W52" s="14">
        <f>'Capital de Giro'!W14</f>
        <v>-96643.864189690212</v>
      </c>
      <c r="X52" s="14">
        <f>'Capital de Giro'!X14</f>
        <v>-105511.08448355296</v>
      </c>
      <c r="Y52" s="14">
        <f>'Capital de Giro'!Y14</f>
        <v>-115193.12843598705</v>
      </c>
      <c r="Z52" s="14">
        <f>'Capital de Giro'!Z14</f>
        <v>-125764.92139924294</v>
      </c>
    </row>
    <row r="53" spans="2:26" s="29" customFormat="1" x14ac:dyDescent="0.25">
      <c r="B53" s="44" t="s">
        <v>95</v>
      </c>
      <c r="C53" s="44"/>
      <c r="D53" s="44"/>
      <c r="E53" s="44"/>
      <c r="F53" s="45">
        <f>SUM(F49:F52)</f>
        <v>-20000000</v>
      </c>
      <c r="G53" s="45">
        <f ca="1">SUM(G49:G52)</f>
        <v>325114.56438356161</v>
      </c>
      <c r="H53" s="45">
        <f ca="1">SUM(H49:H52)</f>
        <v>1070293.5097863032</v>
      </c>
      <c r="I53" s="45">
        <f ca="1">SUM(I49:I52)</f>
        <v>1609571.0954811648</v>
      </c>
      <c r="J53" s="45">
        <f ca="1">SUM(J49:J52)</f>
        <v>2210554.1623717332</v>
      </c>
      <c r="K53" s="45">
        <f ca="1">SUM(K49:K52)</f>
        <v>2879528.4124604855</v>
      </c>
      <c r="L53" s="45">
        <f ca="1">SUM(L49:L52)</f>
        <v>3623382.1842434239</v>
      </c>
      <c r="M53" s="45">
        <f ca="1">SUM(M49:M52)</f>
        <v>4449662.8693438582</v>
      </c>
      <c r="N53" s="45">
        <f ca="1">SUM(N49:N52)</f>
        <v>5366638.5584395304</v>
      </c>
      <c r="O53" s="45">
        <f ca="1">SUM(O49:O52)</f>
        <v>6383365.3991366494</v>
      </c>
      <c r="P53" s="45">
        <f ca="1">SUM(P49:P52)</f>
        <v>7509761.1929107374</v>
      </c>
      <c r="Q53" s="45">
        <f ca="1">SUM(Q49:Q52)</f>
        <v>8076685.806794174</v>
      </c>
      <c r="R53" s="45">
        <f ca="1">SUM(R49:R52)</f>
        <v>9422029.028520314</v>
      </c>
      <c r="S53" s="45">
        <f ca="1">SUM(S49:S52)</f>
        <v>10912806.551745299</v>
      </c>
      <c r="T53" s="45">
        <f ca="1">SUM(T49:T52)</f>
        <v>12563264.841211038</v>
      </c>
      <c r="U53" s="45">
        <f ca="1">SUM(U49:U52)</f>
        <v>14388995.696775829</v>
      </c>
      <c r="V53" s="45">
        <f ca="1">SUM(V49:V52)</f>
        <v>16407061.410659498</v>
      </c>
      <c r="W53" s="45">
        <f ca="1">SUM(W49:W52)</f>
        <v>18636131.494611688</v>
      </c>
      <c r="X53" s="45">
        <f ca="1">SUM(X49:X52)</f>
        <v>21096632.043654349</v>
      </c>
      <c r="Y53" s="45">
        <f ca="1">SUM(Y49:Y52)</f>
        <v>23810908.90127046</v>
      </c>
      <c r="Z53" s="45">
        <f ca="1">SUM(Z49:Z52)</f>
        <v>26803405.898171261</v>
      </c>
    </row>
    <row r="55" spans="2:26" x14ac:dyDescent="0.25">
      <c r="B55" s="29" t="s">
        <v>92</v>
      </c>
      <c r="C55" s="43">
        <f ca="1">NPV(C56,G53:Z53)+F53</f>
        <v>27775273.467041001</v>
      </c>
    </row>
    <row r="56" spans="2:26" x14ac:dyDescent="0.25">
      <c r="B56" s="2" t="s">
        <v>94</v>
      </c>
      <c r="C56" s="39">
        <f>Premissas!C96</f>
        <v>0.1087683988888824</v>
      </c>
    </row>
    <row r="57" spans="2:26" x14ac:dyDescent="0.25">
      <c r="B57" s="29" t="s">
        <v>93</v>
      </c>
      <c r="C57" s="42">
        <f ca="1">IRR(F53:Z53)</f>
        <v>0.19626502996480921</v>
      </c>
    </row>
    <row r="60" spans="2:26" x14ac:dyDescent="0.25">
      <c r="B60" s="3" t="s">
        <v>96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2" spans="2:26" x14ac:dyDescent="0.25">
      <c r="B62" t="s">
        <v>44</v>
      </c>
      <c r="F62" s="14">
        <f>DRE!F79</f>
        <v>-716800.00000000035</v>
      </c>
      <c r="G62" s="14">
        <f ca="1">DRE!G79</f>
        <v>-1594426.8800000004</v>
      </c>
      <c r="H62" s="14">
        <f ca="1">DRE!H79</f>
        <v>-1078950.0590079976</v>
      </c>
      <c r="I62" s="14">
        <f ca="1">DRE!I79</f>
        <v>-195131.03984639596</v>
      </c>
      <c r="J62" s="14">
        <f ca="1">DRE!J79</f>
        <v>596273.53571088682</v>
      </c>
      <c r="K62" s="14">
        <f ca="1">DRE!K79</f>
        <v>1420010.4624626776</v>
      </c>
      <c r="L62" s="14">
        <f ca="1">DRE!L79</f>
        <v>2330499.0678734183</v>
      </c>
      <c r="M62" s="14">
        <f ca="1">DRE!M79</f>
        <v>3336480.719779273</v>
      </c>
      <c r="N62" s="14">
        <f ca="1">DRE!N79</f>
        <v>3901059.6012033024</v>
      </c>
      <c r="O62" s="14">
        <f ca="1">DRE!O79</f>
        <v>4631270.6304881573</v>
      </c>
      <c r="P62" s="14">
        <f ca="1">DRE!P79</f>
        <v>5662056.1578667052</v>
      </c>
      <c r="Q62" s="14">
        <f ca="1">DRE!Q79</f>
        <v>8133773.6589390161</v>
      </c>
      <c r="R62" s="14">
        <f ca="1">DRE!R79</f>
        <v>9484349.9834919237</v>
      </c>
      <c r="S62" s="14">
        <f ca="1">DRE!S79</f>
        <v>10980841.295820918</v>
      </c>
      <c r="T62" s="14">
        <f ca="1">DRE!T79</f>
        <v>12637538.253438098</v>
      </c>
      <c r="U62" s="14">
        <f ca="1">DRE!U79</f>
        <v>14470080.913492125</v>
      </c>
      <c r="V62" s="14">
        <f ca="1">DRE!V79</f>
        <v>16495584.26390061</v>
      </c>
      <c r="W62" s="14">
        <f ca="1">DRE!W79</f>
        <v>18732775.35880138</v>
      </c>
      <c r="X62" s="14">
        <f ca="1">DRE!X79</f>
        <v>21202143.128137901</v>
      </c>
      <c r="Y62" s="14">
        <f ca="1">DRE!Y79</f>
        <v>23926102.029706448</v>
      </c>
      <c r="Z62" s="14">
        <f ca="1">DRE!Z79</f>
        <v>26929170.819570504</v>
      </c>
    </row>
    <row r="63" spans="2:26" x14ac:dyDescent="0.25">
      <c r="B63" t="s">
        <v>86</v>
      </c>
      <c r="F63" s="14">
        <f>-Investimentos!F12</f>
        <v>-20000000</v>
      </c>
      <c r="G63" s="14">
        <f>-Investimentos!G12</f>
        <v>-1000000</v>
      </c>
      <c r="H63" s="14">
        <f>-Investimentos!H12</f>
        <v>-1000000</v>
      </c>
      <c r="I63" s="14">
        <f>-Investimentos!I12</f>
        <v>-1000000</v>
      </c>
      <c r="J63" s="14">
        <f>-Investimentos!J12</f>
        <v>-1000000</v>
      </c>
      <c r="K63" s="14">
        <f>-Investimentos!K12</f>
        <v>-1000000</v>
      </c>
      <c r="L63" s="14">
        <f>-Investimentos!L12</f>
        <v>-1000000</v>
      </c>
      <c r="M63" s="14">
        <f>-Investimentos!M12</f>
        <v>-1000000</v>
      </c>
      <c r="N63" s="14">
        <f>-Investimentos!N12</f>
        <v>-1000000</v>
      </c>
      <c r="O63" s="14">
        <f>-Investimentos!O12</f>
        <v>-1000000</v>
      </c>
      <c r="P63" s="14">
        <f>-Investimentos!P12</f>
        <v>-1000000</v>
      </c>
      <c r="Q63" s="14">
        <f>-Investimentos!Q12</f>
        <v>-1000000</v>
      </c>
      <c r="R63" s="14">
        <f>-Investimentos!R12</f>
        <v>-1000000</v>
      </c>
      <c r="S63" s="14">
        <f>-Investimentos!S12</f>
        <v>-1000000</v>
      </c>
      <c r="T63" s="14">
        <f>-Investimentos!T12</f>
        <v>-1000000</v>
      </c>
      <c r="U63" s="14">
        <f>-Investimentos!U12</f>
        <v>-1000000</v>
      </c>
      <c r="V63" s="14">
        <f>-Investimentos!V12</f>
        <v>-1000000</v>
      </c>
      <c r="W63" s="14">
        <f>-Investimentos!W12</f>
        <v>-1000000</v>
      </c>
      <c r="X63" s="14">
        <f>-Investimentos!X12</f>
        <v>-1000000</v>
      </c>
      <c r="Y63" s="14">
        <f>-Investimentos!Y12</f>
        <v>-1000000</v>
      </c>
      <c r="Z63" s="14">
        <f>-Investimentos!Z12</f>
        <v>-1000000</v>
      </c>
    </row>
    <row r="64" spans="2:26" x14ac:dyDescent="0.25">
      <c r="B64" t="s">
        <v>87</v>
      </c>
      <c r="F64" s="14">
        <f>-DRE!F68</f>
        <v>0</v>
      </c>
      <c r="G64" s="14">
        <f ca="1">-DRE!G68</f>
        <v>2000000</v>
      </c>
      <c r="H64" s="14">
        <f ca="1">-DRE!H68</f>
        <v>2100000</v>
      </c>
      <c r="I64" s="14">
        <f ca="1">-DRE!I68</f>
        <v>2200000</v>
      </c>
      <c r="J64" s="14">
        <f ca="1">-DRE!J68</f>
        <v>2300000</v>
      </c>
      <c r="K64" s="14">
        <f ca="1">-DRE!K68</f>
        <v>2400000</v>
      </c>
      <c r="L64" s="14">
        <f ca="1">-DRE!L68</f>
        <v>2500000</v>
      </c>
      <c r="M64" s="14">
        <f ca="1">-DRE!M68</f>
        <v>2600000</v>
      </c>
      <c r="N64" s="14">
        <f ca="1">-DRE!N68</f>
        <v>2700000</v>
      </c>
      <c r="O64" s="14">
        <f ca="1">-DRE!O68</f>
        <v>2800000</v>
      </c>
      <c r="P64" s="14">
        <f ca="1">-DRE!P68</f>
        <v>2900000</v>
      </c>
      <c r="Q64" s="14">
        <f ca="1">-DRE!Q68</f>
        <v>1000000</v>
      </c>
      <c r="R64" s="14">
        <f ca="1">-DRE!R68</f>
        <v>1000000</v>
      </c>
      <c r="S64" s="14">
        <f ca="1">-DRE!S68</f>
        <v>1000000</v>
      </c>
      <c r="T64" s="14">
        <f ca="1">-DRE!T68</f>
        <v>1000000</v>
      </c>
      <c r="U64" s="14">
        <f ca="1">-DRE!U68</f>
        <v>1000000</v>
      </c>
      <c r="V64" s="14">
        <f ca="1">-DRE!V68</f>
        <v>1000000</v>
      </c>
      <c r="W64" s="14">
        <f ca="1">-DRE!W68</f>
        <v>1000000</v>
      </c>
      <c r="X64" s="14">
        <f ca="1">-DRE!X68</f>
        <v>1000000</v>
      </c>
      <c r="Y64" s="14">
        <f ca="1">-DRE!Y68</f>
        <v>1000000</v>
      </c>
      <c r="Z64" s="14">
        <f ca="1">-DRE!Z68</f>
        <v>1000000</v>
      </c>
    </row>
    <row r="65" spans="2:26" x14ac:dyDescent="0.25">
      <c r="B65" t="s">
        <v>154</v>
      </c>
      <c r="F65" s="14">
        <f ca="1">SUM(F24:F25)</f>
        <v>14000000</v>
      </c>
      <c r="G65" s="14">
        <f t="shared" ref="G65:Z65" ca="1" si="8">SUM(G24:G25)</f>
        <v>0</v>
      </c>
      <c r="H65" s="14">
        <f t="shared" ca="1" si="8"/>
        <v>-3144293.3760000002</v>
      </c>
      <c r="I65" s="14">
        <f t="shared" ca="1" si="8"/>
        <v>-3144293.3760000002</v>
      </c>
      <c r="J65" s="14">
        <f t="shared" ca="1" si="8"/>
        <v>-3144293.3760000002</v>
      </c>
      <c r="K65" s="14">
        <f t="shared" ca="1" si="8"/>
        <v>-3144293.3760000002</v>
      </c>
      <c r="L65" s="14">
        <f t="shared" ca="1" si="8"/>
        <v>-3144293.3760000002</v>
      </c>
      <c r="M65" s="14">
        <f t="shared" ca="1" si="8"/>
        <v>0</v>
      </c>
      <c r="N65" s="14">
        <f t="shared" ca="1" si="8"/>
        <v>0</v>
      </c>
      <c r="O65" s="14">
        <f t="shared" ca="1" si="8"/>
        <v>0</v>
      </c>
      <c r="P65" s="14">
        <f t="shared" ca="1" si="8"/>
        <v>0</v>
      </c>
      <c r="Q65" s="14">
        <f t="shared" ca="1" si="8"/>
        <v>0</v>
      </c>
      <c r="R65" s="14">
        <f t="shared" ca="1" si="8"/>
        <v>0</v>
      </c>
      <c r="S65" s="14">
        <f t="shared" ca="1" si="8"/>
        <v>0</v>
      </c>
      <c r="T65" s="14">
        <f t="shared" ca="1" si="8"/>
        <v>0</v>
      </c>
      <c r="U65" s="14">
        <f t="shared" ca="1" si="8"/>
        <v>0</v>
      </c>
      <c r="V65" s="14">
        <f t="shared" ca="1" si="8"/>
        <v>0</v>
      </c>
      <c r="W65" s="14">
        <f t="shared" ca="1" si="8"/>
        <v>0</v>
      </c>
      <c r="X65" s="14">
        <f t="shared" ca="1" si="8"/>
        <v>0</v>
      </c>
      <c r="Y65" s="14">
        <f t="shared" ca="1" si="8"/>
        <v>0</v>
      </c>
      <c r="Z65" s="14">
        <f t="shared" ca="1" si="8"/>
        <v>0</v>
      </c>
    </row>
    <row r="66" spans="2:26" x14ac:dyDescent="0.25">
      <c r="B66" t="s">
        <v>115</v>
      </c>
      <c r="F66" s="14">
        <f>'Capital de Giro'!F14+F17</f>
        <v>716800.00000000035</v>
      </c>
      <c r="G66" s="14">
        <f ca="1">'Capital de Giro'!G14+G17</f>
        <v>719023.04438356217</v>
      </c>
      <c r="H66" s="14">
        <f ca="1">'Capital de Giro'!H14+H17</f>
        <v>-25945.863013698719</v>
      </c>
      <c r="I66" s="14">
        <f ca="1">'Capital de Giro'!I14+I17</f>
        <v>-28319.547616438475</v>
      </c>
      <c r="J66" s="14">
        <f ca="1">'Capital de Giro'!J14+J17</f>
        <v>-30911.077810849296</v>
      </c>
      <c r="K66" s="14">
        <f ca="1">'Capital de Giro'!K14+K17</f>
        <v>-33740.474055694067</v>
      </c>
      <c r="L66" s="14">
        <f ca="1">'Capital de Giro'!L14+L17</f>
        <v>-36829.597838514252</v>
      </c>
      <c r="M66" s="14">
        <f ca="1">'Capital de Giro'!M14+M17</f>
        <v>-40202.32101614197</v>
      </c>
      <c r="N66" s="14">
        <f ca="1">'Capital de Giro'!N14+N17</f>
        <v>-43884.710733170679</v>
      </c>
      <c r="O66" s="14">
        <f ca="1">'Capital de Giro'!O14+O17</f>
        <v>-47905.231351507828</v>
      </c>
      <c r="P66" s="14">
        <f ca="1">'Capital de Giro'!P14+P17</f>
        <v>-52294.964955967618</v>
      </c>
      <c r="Q66" s="14">
        <f ca="1">'Capital de Giro'!Q14+Q17</f>
        <v>-57087.85214484192</v>
      </c>
      <c r="R66" s="14">
        <f ca="1">'Capital de Giro'!R14+R17</f>
        <v>-62320.954971610103</v>
      </c>
      <c r="S66" s="14">
        <f ca="1">'Capital de Giro'!S14+S17</f>
        <v>-68034.744075619034</v>
      </c>
      <c r="T66" s="14">
        <f ca="1">'Capital de Giro'!T14+T17</f>
        <v>-74273.412227060762</v>
      </c>
      <c r="U66" s="14">
        <f ca="1">'Capital de Giro'!U14+U17</f>
        <v>-81085.216716295341</v>
      </c>
      <c r="V66" s="14">
        <f ca="1">'Capital de Giro'!V14+V17</f>
        <v>-88522.853241112316</v>
      </c>
      <c r="W66" s="14">
        <f ca="1">'Capital de Giro'!W14+W17</f>
        <v>-96643.864189690212</v>
      </c>
      <c r="X66" s="14">
        <f ca="1">'Capital de Giro'!X14+X17</f>
        <v>-105511.08448355296</v>
      </c>
      <c r="Y66" s="14">
        <f ca="1">'Capital de Giro'!Y14+Y17</f>
        <v>-115193.12843598705</v>
      </c>
      <c r="Z66" s="14">
        <f ca="1">'Capital de Giro'!Z14+Z17</f>
        <v>-125764.92139924294</v>
      </c>
    </row>
    <row r="67" spans="2:26" x14ac:dyDescent="0.25"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2:26" s="29" customFormat="1" x14ac:dyDescent="0.25">
      <c r="B68" s="44" t="s">
        <v>96</v>
      </c>
      <c r="C68" s="44"/>
      <c r="D68" s="44"/>
      <c r="E68" s="44"/>
      <c r="F68" s="68">
        <f ca="1">SUM(F62:F66)</f>
        <v>-6000000</v>
      </c>
      <c r="G68" s="68">
        <f ca="1">SUM(G62:G66)</f>
        <v>124596.16438356182</v>
      </c>
      <c r="H68" s="68">
        <f ca="1">SUM(H62:H66)</f>
        <v>-3149189.2980216965</v>
      </c>
      <c r="I68" s="68">
        <f ca="1">SUM(I62:I66)</f>
        <v>-2167743.9634628347</v>
      </c>
      <c r="J68" s="68">
        <f ca="1">SUM(J62:J66)</f>
        <v>-1278930.9180999626</v>
      </c>
      <c r="K68" s="68">
        <f ca="1">SUM(K62:K66)</f>
        <v>-358023.38759301661</v>
      </c>
      <c r="L68" s="68">
        <f ca="1">SUM(L62:L66)</f>
        <v>649376.09403490392</v>
      </c>
      <c r="M68" s="68">
        <f ca="1">SUM(M62:M66)</f>
        <v>4896278.3987631314</v>
      </c>
      <c r="N68" s="68">
        <f ca="1">SUM(N62:N66)</f>
        <v>5557174.8904701313</v>
      </c>
      <c r="O68" s="68">
        <f ca="1">SUM(O62:O66)</f>
        <v>6383365.3991366494</v>
      </c>
      <c r="P68" s="68">
        <f ca="1">SUM(P62:P66)</f>
        <v>7509761.1929107374</v>
      </c>
      <c r="Q68" s="68">
        <f ca="1">SUM(Q62:Q66)</f>
        <v>8076685.806794174</v>
      </c>
      <c r="R68" s="68">
        <f ca="1">SUM(R62:R66)</f>
        <v>9422029.028520314</v>
      </c>
      <c r="S68" s="68">
        <f ca="1">SUM(S62:S66)</f>
        <v>10912806.551745299</v>
      </c>
      <c r="T68" s="68">
        <f ca="1">SUM(T62:T66)</f>
        <v>12563264.841211038</v>
      </c>
      <c r="U68" s="68">
        <f ca="1">SUM(U62:U66)</f>
        <v>14388995.696775829</v>
      </c>
      <c r="V68" s="68">
        <f ca="1">SUM(V62:V66)</f>
        <v>16407061.410659498</v>
      </c>
      <c r="W68" s="68">
        <f ca="1">SUM(W62:W66)</f>
        <v>18636131.494611688</v>
      </c>
      <c r="X68" s="68">
        <f ca="1">SUM(X62:X66)</f>
        <v>21096632.043654349</v>
      </c>
      <c r="Y68" s="68">
        <f ca="1">SUM(Y62:Y66)</f>
        <v>23810908.90127046</v>
      </c>
      <c r="Z68" s="68">
        <f ca="1">SUM(Z62:Z66)</f>
        <v>26803405.898171261</v>
      </c>
    </row>
    <row r="69" spans="2:26" x14ac:dyDescent="0.25">
      <c r="H69" s="11"/>
    </row>
    <row r="70" spans="2:26" x14ac:dyDescent="0.25">
      <c r="B70" s="29" t="s">
        <v>92</v>
      </c>
      <c r="C70" s="43">
        <f ca="1">NPV(C71,G68:Z68)+F68</f>
        <v>20962926.077516425</v>
      </c>
    </row>
    <row r="71" spans="2:26" x14ac:dyDescent="0.25">
      <c r="B71" s="2" t="s">
        <v>132</v>
      </c>
      <c r="C71" s="39">
        <f>Premissas!C85</f>
        <v>0.1293297254705883</v>
      </c>
    </row>
    <row r="72" spans="2:26" x14ac:dyDescent="0.25">
      <c r="B72" s="29" t="s">
        <v>93</v>
      </c>
      <c r="C72" s="42">
        <f ca="1">IRR(F68:Z68)</f>
        <v>0.23814656367162179</v>
      </c>
    </row>
    <row r="80" spans="2:26" x14ac:dyDescent="0.25">
      <c r="D80" s="41"/>
      <c r="F80" s="4"/>
    </row>
    <row r="81" spans="4:6" x14ac:dyDescent="0.25">
      <c r="D81" s="16"/>
    </row>
    <row r="83" spans="4:6" ht="21" x14ac:dyDescent="0.4">
      <c r="F83" s="40"/>
    </row>
    <row r="94" spans="4:6" x14ac:dyDescent="0.25">
      <c r="D94" s="4"/>
    </row>
    <row r="95" spans="4:6" x14ac:dyDescent="0.25">
      <c r="D95" s="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4DDA-7E85-4042-A266-465E02A15A31}">
  <dimension ref="B3:Z36"/>
  <sheetViews>
    <sheetView showGridLines="0" zoomScale="80" zoomScaleNormal="80" workbookViewId="0">
      <pane xSplit="4" ySplit="6" topLeftCell="E7" activePane="bottomRight" state="frozen"/>
      <selection activeCell="F18" sqref="F18"/>
      <selection pane="topRight" activeCell="F18" sqref="F18"/>
      <selection pane="bottomLeft" activeCell="F18" sqref="F18"/>
      <selection pane="bottomRight" activeCell="C25" sqref="C25"/>
    </sheetView>
  </sheetViews>
  <sheetFormatPr defaultRowHeight="15" x14ac:dyDescent="0.25"/>
  <cols>
    <col min="2" max="2" width="25.42578125" customWidth="1"/>
    <col min="3" max="3" width="10.140625" customWidth="1"/>
    <col min="4" max="4" width="25.42578125" customWidth="1"/>
    <col min="6" max="6" width="14" bestFit="1" customWidth="1"/>
    <col min="7" max="26" width="12.85546875" bestFit="1" customWidth="1"/>
  </cols>
  <sheetData>
    <row r="3" spans="2:26" x14ac:dyDescent="0.25">
      <c r="F3" s="1">
        <v>0</v>
      </c>
      <c r="G3" s="1">
        <f>F3+1</f>
        <v>1</v>
      </c>
      <c r="H3" s="1">
        <f t="shared" ref="H3:Z3" si="0">G3+1</f>
        <v>2</v>
      </c>
      <c r="I3" s="1">
        <f t="shared" si="0"/>
        <v>3</v>
      </c>
      <c r="J3" s="1">
        <f t="shared" si="0"/>
        <v>4</v>
      </c>
      <c r="K3" s="1">
        <f t="shared" si="0"/>
        <v>5</v>
      </c>
      <c r="L3" s="1">
        <f t="shared" si="0"/>
        <v>6</v>
      </c>
      <c r="M3" s="1">
        <f t="shared" si="0"/>
        <v>7</v>
      </c>
      <c r="N3" s="1">
        <f t="shared" si="0"/>
        <v>8</v>
      </c>
      <c r="O3" s="1">
        <f t="shared" si="0"/>
        <v>9</v>
      </c>
      <c r="P3" s="1">
        <f t="shared" si="0"/>
        <v>10</v>
      </c>
      <c r="Q3" s="1">
        <f t="shared" si="0"/>
        <v>11</v>
      </c>
      <c r="R3" s="1">
        <f t="shared" si="0"/>
        <v>12</v>
      </c>
      <c r="S3" s="1">
        <f t="shared" si="0"/>
        <v>13</v>
      </c>
      <c r="T3" s="1">
        <f t="shared" si="0"/>
        <v>14</v>
      </c>
      <c r="U3" s="1">
        <f t="shared" si="0"/>
        <v>15</v>
      </c>
      <c r="V3" s="1">
        <f t="shared" si="0"/>
        <v>16</v>
      </c>
      <c r="W3" s="1">
        <f t="shared" si="0"/>
        <v>17</v>
      </c>
      <c r="X3" s="1">
        <f t="shared" si="0"/>
        <v>18</v>
      </c>
      <c r="Y3" s="1">
        <f t="shared" si="0"/>
        <v>19</v>
      </c>
      <c r="Z3" s="1">
        <f t="shared" si="0"/>
        <v>20</v>
      </c>
    </row>
    <row r="5" spans="2:26" x14ac:dyDescent="0.25">
      <c r="B5" t="s">
        <v>69</v>
      </c>
      <c r="C5" s="65">
        <f>Premissas!$C$4</f>
        <v>365</v>
      </c>
      <c r="F5" s="14">
        <f>$C$5</f>
        <v>365</v>
      </c>
      <c r="G5" s="14">
        <f t="shared" ref="G5:Z5" si="1">$C$5</f>
        <v>365</v>
      </c>
      <c r="H5" s="14">
        <f t="shared" si="1"/>
        <v>365</v>
      </c>
      <c r="I5" s="14">
        <f t="shared" si="1"/>
        <v>365</v>
      </c>
      <c r="J5" s="14">
        <f t="shared" si="1"/>
        <v>365</v>
      </c>
      <c r="K5" s="14">
        <f t="shared" si="1"/>
        <v>365</v>
      </c>
      <c r="L5" s="14">
        <f t="shared" si="1"/>
        <v>365</v>
      </c>
      <c r="M5" s="14">
        <f t="shared" si="1"/>
        <v>365</v>
      </c>
      <c r="N5" s="14">
        <f t="shared" si="1"/>
        <v>365</v>
      </c>
      <c r="O5" s="14">
        <f t="shared" si="1"/>
        <v>365</v>
      </c>
      <c r="P5" s="14">
        <f t="shared" si="1"/>
        <v>365</v>
      </c>
      <c r="Q5" s="14">
        <f t="shared" si="1"/>
        <v>365</v>
      </c>
      <c r="R5" s="14">
        <f t="shared" si="1"/>
        <v>365</v>
      </c>
      <c r="S5" s="14">
        <f t="shared" si="1"/>
        <v>365</v>
      </c>
      <c r="T5" s="14">
        <f t="shared" si="1"/>
        <v>365</v>
      </c>
      <c r="U5" s="14">
        <f t="shared" si="1"/>
        <v>365</v>
      </c>
      <c r="V5" s="14">
        <f t="shared" si="1"/>
        <v>365</v>
      </c>
      <c r="W5" s="14">
        <f t="shared" si="1"/>
        <v>365</v>
      </c>
      <c r="X5" s="14">
        <f t="shared" si="1"/>
        <v>365</v>
      </c>
      <c r="Y5" s="14">
        <f t="shared" si="1"/>
        <v>365</v>
      </c>
      <c r="Z5" s="14">
        <f t="shared" si="1"/>
        <v>365</v>
      </c>
    </row>
    <row r="6" spans="2:26" x14ac:dyDescent="0.25">
      <c r="B6" t="s">
        <v>14</v>
      </c>
      <c r="C6" s="22">
        <f>Premissas!C5</f>
        <v>0.04</v>
      </c>
      <c r="F6" s="6">
        <f>(1+$C$6)^F3</f>
        <v>1</v>
      </c>
      <c r="G6" s="6">
        <f>(1+$C$6)^G3</f>
        <v>1.04</v>
      </c>
      <c r="H6" s="6">
        <f>(1+$C$6)^H3</f>
        <v>1.0816000000000001</v>
      </c>
      <c r="I6" s="6">
        <f t="shared" ref="I6:Z6" si="2">(1+$C$6)^I3</f>
        <v>1.1248640000000001</v>
      </c>
      <c r="J6" s="6">
        <f t="shared" si="2"/>
        <v>1.1698585600000002</v>
      </c>
      <c r="K6" s="6">
        <f t="shared" si="2"/>
        <v>1.2166529024000003</v>
      </c>
      <c r="L6" s="6">
        <f t="shared" si="2"/>
        <v>1.2653190184960004</v>
      </c>
      <c r="M6" s="6">
        <f t="shared" si="2"/>
        <v>1.3159317792358403</v>
      </c>
      <c r="N6" s="6">
        <f t="shared" si="2"/>
        <v>1.3685690504052741</v>
      </c>
      <c r="O6" s="6">
        <f t="shared" si="2"/>
        <v>1.4233118124214852</v>
      </c>
      <c r="P6" s="6">
        <f t="shared" si="2"/>
        <v>1.4802442849183446</v>
      </c>
      <c r="Q6" s="6">
        <f t="shared" si="2"/>
        <v>1.5394540563150783</v>
      </c>
      <c r="R6" s="6">
        <f t="shared" si="2"/>
        <v>1.6010322185676817</v>
      </c>
      <c r="S6" s="6">
        <f t="shared" si="2"/>
        <v>1.6650735073103891</v>
      </c>
      <c r="T6" s="6">
        <f t="shared" si="2"/>
        <v>1.7316764476028046</v>
      </c>
      <c r="U6" s="6">
        <f t="shared" si="2"/>
        <v>1.8009435055069167</v>
      </c>
      <c r="V6" s="6">
        <f t="shared" si="2"/>
        <v>1.8729812457271937</v>
      </c>
      <c r="W6" s="6">
        <f t="shared" si="2"/>
        <v>1.9479004955562815</v>
      </c>
      <c r="X6" s="6">
        <f t="shared" si="2"/>
        <v>2.025816515378533</v>
      </c>
      <c r="Y6" s="6">
        <f t="shared" si="2"/>
        <v>2.1068491759936743</v>
      </c>
      <c r="Z6" s="6">
        <f t="shared" si="2"/>
        <v>2.1911231430334213</v>
      </c>
    </row>
    <row r="9" spans="2:26" x14ac:dyDescent="0.25">
      <c r="B9" s="3" t="s">
        <v>55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1" spans="2:26" x14ac:dyDescent="0.25">
      <c r="B11" s="25" t="s">
        <v>46</v>
      </c>
      <c r="C11" s="25"/>
      <c r="D11" s="25"/>
      <c r="E11" s="25"/>
      <c r="F11" s="27">
        <v>0</v>
      </c>
      <c r="G11" s="28">
        <f>F14</f>
        <v>20000000</v>
      </c>
      <c r="H11" s="28">
        <f t="shared" ref="H11:Z11" ca="1" si="3">G14</f>
        <v>19000000</v>
      </c>
      <c r="I11" s="28">
        <f t="shared" ca="1" si="3"/>
        <v>17900000</v>
      </c>
      <c r="J11" s="28">
        <f t="shared" ca="1" si="3"/>
        <v>16700000</v>
      </c>
      <c r="K11" s="28">
        <f t="shared" ca="1" si="3"/>
        <v>15400000</v>
      </c>
      <c r="L11" s="28">
        <f t="shared" ca="1" si="3"/>
        <v>14000000</v>
      </c>
      <c r="M11" s="28">
        <f t="shared" ca="1" si="3"/>
        <v>12500000</v>
      </c>
      <c r="N11" s="28">
        <f t="shared" ca="1" si="3"/>
        <v>10900000</v>
      </c>
      <c r="O11" s="28">
        <f t="shared" ca="1" si="3"/>
        <v>9200000</v>
      </c>
      <c r="P11" s="28">
        <f t="shared" ca="1" si="3"/>
        <v>7400000</v>
      </c>
      <c r="Q11" s="28">
        <f t="shared" ca="1" si="3"/>
        <v>5500000</v>
      </c>
      <c r="R11" s="28">
        <f t="shared" ca="1" si="3"/>
        <v>5500000</v>
      </c>
      <c r="S11" s="28">
        <f t="shared" ca="1" si="3"/>
        <v>5500000</v>
      </c>
      <c r="T11" s="28">
        <f t="shared" ca="1" si="3"/>
        <v>5500000</v>
      </c>
      <c r="U11" s="28">
        <f t="shared" ca="1" si="3"/>
        <v>5500000</v>
      </c>
      <c r="V11" s="28">
        <f t="shared" ca="1" si="3"/>
        <v>5500000</v>
      </c>
      <c r="W11" s="28">
        <f t="shared" ca="1" si="3"/>
        <v>5500000</v>
      </c>
      <c r="X11" s="28">
        <f t="shared" ca="1" si="3"/>
        <v>5500000</v>
      </c>
      <c r="Y11" s="28">
        <f t="shared" ca="1" si="3"/>
        <v>5500000</v>
      </c>
      <c r="Z11" s="28">
        <f t="shared" ca="1" si="3"/>
        <v>5500000</v>
      </c>
    </row>
    <row r="12" spans="2:26" x14ac:dyDescent="0.25">
      <c r="B12" s="2" t="s">
        <v>47</v>
      </c>
      <c r="F12" s="14">
        <f>F17+F23</f>
        <v>20000000</v>
      </c>
      <c r="G12" s="14">
        <f t="shared" ref="G12:Z12" si="4">G17+G23</f>
        <v>1000000</v>
      </c>
      <c r="H12" s="14">
        <f t="shared" si="4"/>
        <v>1000000</v>
      </c>
      <c r="I12" s="14">
        <f t="shared" si="4"/>
        <v>1000000</v>
      </c>
      <c r="J12" s="14">
        <f t="shared" si="4"/>
        <v>1000000</v>
      </c>
      <c r="K12" s="14">
        <f t="shared" si="4"/>
        <v>1000000</v>
      </c>
      <c r="L12" s="14">
        <f t="shared" si="4"/>
        <v>1000000</v>
      </c>
      <c r="M12" s="14">
        <f t="shared" si="4"/>
        <v>1000000</v>
      </c>
      <c r="N12" s="14">
        <f t="shared" si="4"/>
        <v>1000000</v>
      </c>
      <c r="O12" s="14">
        <f t="shared" si="4"/>
        <v>1000000</v>
      </c>
      <c r="P12" s="14">
        <f t="shared" si="4"/>
        <v>1000000</v>
      </c>
      <c r="Q12" s="14">
        <f t="shared" si="4"/>
        <v>1000000</v>
      </c>
      <c r="R12" s="14">
        <f t="shared" si="4"/>
        <v>1000000</v>
      </c>
      <c r="S12" s="14">
        <f t="shared" si="4"/>
        <v>1000000</v>
      </c>
      <c r="T12" s="14">
        <f t="shared" si="4"/>
        <v>1000000</v>
      </c>
      <c r="U12" s="14">
        <f t="shared" si="4"/>
        <v>1000000</v>
      </c>
      <c r="V12" s="14">
        <f t="shared" si="4"/>
        <v>1000000</v>
      </c>
      <c r="W12" s="14">
        <f t="shared" si="4"/>
        <v>1000000</v>
      </c>
      <c r="X12" s="14">
        <f t="shared" si="4"/>
        <v>1000000</v>
      </c>
      <c r="Y12" s="14">
        <f t="shared" si="4"/>
        <v>1000000</v>
      </c>
      <c r="Z12" s="14">
        <f t="shared" si="4"/>
        <v>1000000</v>
      </c>
    </row>
    <row r="13" spans="2:26" x14ac:dyDescent="0.25">
      <c r="B13" s="2" t="s">
        <v>48</v>
      </c>
      <c r="F13" s="14">
        <f>F18+F24</f>
        <v>0</v>
      </c>
      <c r="G13" s="14">
        <f t="shared" ref="G13:Z13" ca="1" si="5">G18+G24</f>
        <v>-2000000</v>
      </c>
      <c r="H13" s="14">
        <f t="shared" ca="1" si="5"/>
        <v>-2100000</v>
      </c>
      <c r="I13" s="14">
        <f t="shared" ca="1" si="5"/>
        <v>-2200000</v>
      </c>
      <c r="J13" s="14">
        <f t="shared" ca="1" si="5"/>
        <v>-2300000</v>
      </c>
      <c r="K13" s="14">
        <f t="shared" ca="1" si="5"/>
        <v>-2400000</v>
      </c>
      <c r="L13" s="14">
        <f t="shared" ca="1" si="5"/>
        <v>-2500000</v>
      </c>
      <c r="M13" s="14">
        <f t="shared" ca="1" si="5"/>
        <v>-2600000</v>
      </c>
      <c r="N13" s="14">
        <f t="shared" ca="1" si="5"/>
        <v>-2700000</v>
      </c>
      <c r="O13" s="14">
        <f t="shared" ca="1" si="5"/>
        <v>-2800000</v>
      </c>
      <c r="P13" s="14">
        <f t="shared" ca="1" si="5"/>
        <v>-2900000</v>
      </c>
      <c r="Q13" s="14">
        <f t="shared" ca="1" si="5"/>
        <v>-1000000</v>
      </c>
      <c r="R13" s="14">
        <f t="shared" ca="1" si="5"/>
        <v>-1000000</v>
      </c>
      <c r="S13" s="14">
        <f t="shared" ca="1" si="5"/>
        <v>-1000000</v>
      </c>
      <c r="T13" s="14">
        <f t="shared" ca="1" si="5"/>
        <v>-1000000</v>
      </c>
      <c r="U13" s="14">
        <f t="shared" ca="1" si="5"/>
        <v>-1000000</v>
      </c>
      <c r="V13" s="14">
        <f t="shared" ca="1" si="5"/>
        <v>-1000000</v>
      </c>
      <c r="W13" s="14">
        <f t="shared" ca="1" si="5"/>
        <v>-1000000</v>
      </c>
      <c r="X13" s="14">
        <f t="shared" ca="1" si="5"/>
        <v>-1000000</v>
      </c>
      <c r="Y13" s="14">
        <f t="shared" ca="1" si="5"/>
        <v>-1000000</v>
      </c>
      <c r="Z13" s="14">
        <f t="shared" ca="1" si="5"/>
        <v>-1000000</v>
      </c>
    </row>
    <row r="14" spans="2:26" x14ac:dyDescent="0.25">
      <c r="B14" s="25" t="s">
        <v>49</v>
      </c>
      <c r="C14" s="25"/>
      <c r="D14" s="25"/>
      <c r="E14" s="25"/>
      <c r="F14" s="28">
        <f>SUM(F11:F13)</f>
        <v>20000000</v>
      </c>
      <c r="G14" s="28">
        <f ca="1">SUM(G11:G13)</f>
        <v>19000000</v>
      </c>
      <c r="H14" s="28">
        <f t="shared" ref="H14:Z14" ca="1" si="6">SUM(H11:H13)</f>
        <v>17900000</v>
      </c>
      <c r="I14" s="28">
        <f t="shared" ca="1" si="6"/>
        <v>16700000</v>
      </c>
      <c r="J14" s="28">
        <f t="shared" ca="1" si="6"/>
        <v>15400000</v>
      </c>
      <c r="K14" s="28">
        <f t="shared" ca="1" si="6"/>
        <v>14000000</v>
      </c>
      <c r="L14" s="28">
        <f t="shared" ca="1" si="6"/>
        <v>12500000</v>
      </c>
      <c r="M14" s="28">
        <f t="shared" ca="1" si="6"/>
        <v>10900000</v>
      </c>
      <c r="N14" s="28">
        <f t="shared" ca="1" si="6"/>
        <v>9200000</v>
      </c>
      <c r="O14" s="28">
        <f t="shared" ca="1" si="6"/>
        <v>7400000</v>
      </c>
      <c r="P14" s="28">
        <f t="shared" ca="1" si="6"/>
        <v>5500000</v>
      </c>
      <c r="Q14" s="28">
        <f t="shared" ca="1" si="6"/>
        <v>5500000</v>
      </c>
      <c r="R14" s="28">
        <f t="shared" ca="1" si="6"/>
        <v>5500000</v>
      </c>
      <c r="S14" s="28">
        <f t="shared" ca="1" si="6"/>
        <v>5500000</v>
      </c>
      <c r="T14" s="28">
        <f t="shared" ca="1" si="6"/>
        <v>5500000</v>
      </c>
      <c r="U14" s="28">
        <f t="shared" ca="1" si="6"/>
        <v>5500000</v>
      </c>
      <c r="V14" s="28">
        <f t="shared" ca="1" si="6"/>
        <v>5500000</v>
      </c>
      <c r="W14" s="28">
        <f t="shared" ca="1" si="6"/>
        <v>5500000</v>
      </c>
      <c r="X14" s="28">
        <f t="shared" ca="1" si="6"/>
        <v>5500000</v>
      </c>
      <c r="Y14" s="28">
        <f t="shared" ca="1" si="6"/>
        <v>5500000</v>
      </c>
      <c r="Z14" s="28">
        <f t="shared" ca="1" si="6"/>
        <v>5500000</v>
      </c>
    </row>
    <row r="15" spans="2:26" x14ac:dyDescent="0.25"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1"/>
    </row>
    <row r="16" spans="2:26" x14ac:dyDescent="0.25">
      <c r="B16" s="3" t="s">
        <v>50</v>
      </c>
      <c r="C16" s="3"/>
      <c r="D16" s="3"/>
      <c r="E16" s="3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2:26" x14ac:dyDescent="0.25">
      <c r="B17" s="2" t="s">
        <v>52</v>
      </c>
      <c r="F17" s="56">
        <f>Premissas!F58</f>
        <v>20000000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1"/>
    </row>
    <row r="18" spans="2:26" x14ac:dyDescent="0.25">
      <c r="B18" s="2" t="s">
        <v>37</v>
      </c>
      <c r="C18" s="5">
        <f>1/C19</f>
        <v>0.1</v>
      </c>
      <c r="F18" s="14"/>
      <c r="G18" s="14">
        <f t="shared" ref="G18:Z18" ca="1" si="7">-$C$18*SUM(OFFSET(F17,0,0,,-MIN(G3-$F$3,$C$19)))</f>
        <v>-2000000</v>
      </c>
      <c r="H18" s="14">
        <f t="shared" ca="1" si="7"/>
        <v>-2000000</v>
      </c>
      <c r="I18" s="14">
        <f t="shared" ca="1" si="7"/>
        <v>-2000000</v>
      </c>
      <c r="J18" s="14">
        <f t="shared" ca="1" si="7"/>
        <v>-2000000</v>
      </c>
      <c r="K18" s="14">
        <f t="shared" ca="1" si="7"/>
        <v>-2000000</v>
      </c>
      <c r="L18" s="14">
        <f t="shared" ca="1" si="7"/>
        <v>-2000000</v>
      </c>
      <c r="M18" s="14">
        <f t="shared" ca="1" si="7"/>
        <v>-2000000</v>
      </c>
      <c r="N18" s="14">
        <f t="shared" ca="1" si="7"/>
        <v>-2000000</v>
      </c>
      <c r="O18" s="14">
        <f t="shared" ca="1" si="7"/>
        <v>-2000000</v>
      </c>
      <c r="P18" s="14">
        <f t="shared" ca="1" si="7"/>
        <v>-2000000</v>
      </c>
      <c r="Q18" s="14">
        <f t="shared" ca="1" si="7"/>
        <v>0</v>
      </c>
      <c r="R18" s="14">
        <f t="shared" ca="1" si="7"/>
        <v>0</v>
      </c>
      <c r="S18" s="14">
        <f t="shared" ca="1" si="7"/>
        <v>0</v>
      </c>
      <c r="T18" s="14">
        <f t="shared" ca="1" si="7"/>
        <v>0</v>
      </c>
      <c r="U18" s="14">
        <f t="shared" ca="1" si="7"/>
        <v>0</v>
      </c>
      <c r="V18" s="14">
        <f t="shared" ca="1" si="7"/>
        <v>0</v>
      </c>
      <c r="W18" s="14">
        <f t="shared" ca="1" si="7"/>
        <v>0</v>
      </c>
      <c r="X18" s="14">
        <f t="shared" ca="1" si="7"/>
        <v>0</v>
      </c>
      <c r="Y18" s="14">
        <f t="shared" ca="1" si="7"/>
        <v>0</v>
      </c>
      <c r="Z18" s="14">
        <f t="shared" ca="1" si="7"/>
        <v>0</v>
      </c>
    </row>
    <row r="19" spans="2:26" x14ac:dyDescent="0.25">
      <c r="B19" s="7" t="s">
        <v>53</v>
      </c>
      <c r="C19" s="56">
        <f>Premissas!$C$60</f>
        <v>10</v>
      </c>
      <c r="D19" t="s">
        <v>54</v>
      </c>
      <c r="F19" s="14"/>
    </row>
    <row r="20" spans="2:26" x14ac:dyDescent="0.25">
      <c r="B20" s="2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1"/>
    </row>
    <row r="21" spans="2:26" x14ac:dyDescent="0.25"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1"/>
    </row>
    <row r="22" spans="2:26" x14ac:dyDescent="0.25">
      <c r="B22" s="3" t="s">
        <v>51</v>
      </c>
      <c r="C22" s="3"/>
      <c r="D22" s="3"/>
      <c r="E22" s="3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2:26" x14ac:dyDescent="0.25">
      <c r="B23" s="2" t="s">
        <v>52</v>
      </c>
      <c r="C23" s="36">
        <f>Premissas!$C$59</f>
        <v>0.05</v>
      </c>
      <c r="D23" t="s">
        <v>56</v>
      </c>
      <c r="F23" s="14"/>
      <c r="G23" s="14">
        <f>SUM($F$17:G17)*$C$23</f>
        <v>1000000</v>
      </c>
      <c r="H23" s="14">
        <f>SUM($F$17:H17)*$C$23</f>
        <v>1000000</v>
      </c>
      <c r="I23" s="14">
        <f>SUM($F$17:I17)*$C$23</f>
        <v>1000000</v>
      </c>
      <c r="J23" s="14">
        <f>SUM($F$17:J17)*$C$23</f>
        <v>1000000</v>
      </c>
      <c r="K23" s="14">
        <f>SUM($F$17:K17)*$C$23</f>
        <v>1000000</v>
      </c>
      <c r="L23" s="14">
        <f>SUM($F$17:L17)*$C$23</f>
        <v>1000000</v>
      </c>
      <c r="M23" s="14">
        <f>SUM($F$17:M17)*$C$23</f>
        <v>1000000</v>
      </c>
      <c r="N23" s="14">
        <f>SUM($F$17:N17)*$C$23</f>
        <v>1000000</v>
      </c>
      <c r="O23" s="14">
        <f>SUM($F$17:O17)*$C$23</f>
        <v>1000000</v>
      </c>
      <c r="P23" s="14">
        <f>SUM($F$17:P17)*$C$23</f>
        <v>1000000</v>
      </c>
      <c r="Q23" s="14">
        <f>SUM($F$17:Q17)*$C$23</f>
        <v>1000000</v>
      </c>
      <c r="R23" s="14">
        <f>SUM($F$17:R17)*$C$23</f>
        <v>1000000</v>
      </c>
      <c r="S23" s="14">
        <f>SUM($F$17:S17)*$C$23</f>
        <v>1000000</v>
      </c>
      <c r="T23" s="14">
        <f>SUM($F$17:T17)*$C$23</f>
        <v>1000000</v>
      </c>
      <c r="U23" s="14">
        <f>SUM($F$17:U17)*$C$23</f>
        <v>1000000</v>
      </c>
      <c r="V23" s="14">
        <f>SUM($F$17:V17)*$C$23</f>
        <v>1000000</v>
      </c>
      <c r="W23" s="14">
        <f>SUM($F$17:W17)*$C$23</f>
        <v>1000000</v>
      </c>
      <c r="X23" s="14">
        <f>SUM($F$17:X17)*$C$23</f>
        <v>1000000</v>
      </c>
      <c r="Y23" s="14">
        <f>SUM($F$17:Y17)*$C$23</f>
        <v>1000000</v>
      </c>
      <c r="Z23" s="14">
        <f>SUM($F$17:Z17)*$C$23</f>
        <v>1000000</v>
      </c>
    </row>
    <row r="24" spans="2:26" x14ac:dyDescent="0.25">
      <c r="B24" s="2" t="s">
        <v>37</v>
      </c>
      <c r="C24" s="5">
        <f>1/C25</f>
        <v>0.1</v>
      </c>
      <c r="F24" s="14"/>
      <c r="G24" s="14">
        <f ca="1">-$C$24*SUM(OFFSET(F23,0,0,,-MIN(G3-$F$3,$C$25)))</f>
        <v>0</v>
      </c>
      <c r="H24" s="14">
        <f t="shared" ref="H24:Z24" ca="1" si="8">-$C$24*SUM(OFFSET(G23,0,0,,-MIN(H3-$F$3,$C$25)))</f>
        <v>-100000</v>
      </c>
      <c r="I24" s="14">
        <f t="shared" ca="1" si="8"/>
        <v>-200000</v>
      </c>
      <c r="J24" s="14">
        <f t="shared" ca="1" si="8"/>
        <v>-300000</v>
      </c>
      <c r="K24" s="14">
        <f t="shared" ca="1" si="8"/>
        <v>-400000</v>
      </c>
      <c r="L24" s="14">
        <f t="shared" ca="1" si="8"/>
        <v>-500000</v>
      </c>
      <c r="M24" s="14">
        <f t="shared" ca="1" si="8"/>
        <v>-600000</v>
      </c>
      <c r="N24" s="14">
        <f t="shared" ca="1" si="8"/>
        <v>-700000</v>
      </c>
      <c r="O24" s="14">
        <f t="shared" ca="1" si="8"/>
        <v>-800000</v>
      </c>
      <c r="P24" s="14">
        <f t="shared" ca="1" si="8"/>
        <v>-900000</v>
      </c>
      <c r="Q24" s="14">
        <f t="shared" ca="1" si="8"/>
        <v>-1000000</v>
      </c>
      <c r="R24" s="14">
        <f t="shared" ca="1" si="8"/>
        <v>-1000000</v>
      </c>
      <c r="S24" s="14">
        <f t="shared" ca="1" si="8"/>
        <v>-1000000</v>
      </c>
      <c r="T24" s="14">
        <f t="shared" ca="1" si="8"/>
        <v>-1000000</v>
      </c>
      <c r="U24" s="14">
        <f t="shared" ca="1" si="8"/>
        <v>-1000000</v>
      </c>
      <c r="V24" s="14">
        <f t="shared" ca="1" si="8"/>
        <v>-1000000</v>
      </c>
      <c r="W24" s="14">
        <f t="shared" ca="1" si="8"/>
        <v>-1000000</v>
      </c>
      <c r="X24" s="14">
        <f t="shared" ca="1" si="8"/>
        <v>-1000000</v>
      </c>
      <c r="Y24" s="14">
        <f t="shared" ca="1" si="8"/>
        <v>-1000000</v>
      </c>
      <c r="Z24" s="14">
        <f t="shared" ca="1" si="8"/>
        <v>-1000000</v>
      </c>
    </row>
    <row r="25" spans="2:26" x14ac:dyDescent="0.25">
      <c r="B25" s="7" t="s">
        <v>53</v>
      </c>
      <c r="C25" s="56">
        <f>Premissas!$C$60</f>
        <v>10</v>
      </c>
      <c r="D25" t="s">
        <v>54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1"/>
    </row>
    <row r="26" spans="2:26" x14ac:dyDescent="0.25"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1"/>
    </row>
    <row r="27" spans="2:26" x14ac:dyDescent="0.25"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1"/>
    </row>
    <row r="28" spans="2:26" x14ac:dyDescent="0.25"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1"/>
    </row>
    <row r="29" spans="2:26" x14ac:dyDescent="0.25"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1"/>
    </row>
    <row r="30" spans="2:26" x14ac:dyDescent="0.25"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1"/>
    </row>
    <row r="31" spans="2:26" x14ac:dyDescent="0.25"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1"/>
    </row>
    <row r="32" spans="2:26" x14ac:dyDescent="0.25"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6:26" x14ac:dyDescent="0.25"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6:26" x14ac:dyDescent="0.25"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6:26" x14ac:dyDescent="0.25"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6:26" x14ac:dyDescent="0.25"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88724-5D97-4486-873D-EA77A8494975}">
  <dimension ref="B3:Z37"/>
  <sheetViews>
    <sheetView showGridLines="0" zoomScale="80" zoomScaleNormal="80" workbookViewId="0">
      <pane xSplit="4" ySplit="6" topLeftCell="E7" activePane="bottomRight" state="frozen"/>
      <selection activeCell="I44" sqref="I44"/>
      <selection pane="topRight" activeCell="I44" sqref="I44"/>
      <selection pane="bottomLeft" activeCell="I44" sqref="I44"/>
      <selection pane="bottomRight" activeCell="C5" sqref="C5"/>
    </sheetView>
  </sheetViews>
  <sheetFormatPr defaultRowHeight="15" x14ac:dyDescent="0.25"/>
  <cols>
    <col min="2" max="2" width="25.42578125" customWidth="1"/>
    <col min="3" max="3" width="10.140625" customWidth="1"/>
    <col min="4" max="4" width="25.42578125" customWidth="1"/>
    <col min="6" max="6" width="12.85546875" customWidth="1"/>
    <col min="7" max="12" width="12.28515625" bestFit="1" customWidth="1"/>
    <col min="13" max="26" width="11.42578125" bestFit="1" customWidth="1"/>
  </cols>
  <sheetData>
    <row r="3" spans="2:26" x14ac:dyDescent="0.25">
      <c r="F3" s="1">
        <v>0</v>
      </c>
      <c r="G3" s="1">
        <f>F3+1</f>
        <v>1</v>
      </c>
      <c r="H3" s="1">
        <f t="shared" ref="H3:Z3" si="0">G3+1</f>
        <v>2</v>
      </c>
      <c r="I3" s="1">
        <f t="shared" si="0"/>
        <v>3</v>
      </c>
      <c r="J3" s="1">
        <f t="shared" si="0"/>
        <v>4</v>
      </c>
      <c r="K3" s="1">
        <f t="shared" si="0"/>
        <v>5</v>
      </c>
      <c r="L3" s="1">
        <f t="shared" si="0"/>
        <v>6</v>
      </c>
      <c r="M3" s="1">
        <f t="shared" si="0"/>
        <v>7</v>
      </c>
      <c r="N3" s="1">
        <f t="shared" si="0"/>
        <v>8</v>
      </c>
      <c r="O3" s="1">
        <f t="shared" si="0"/>
        <v>9</v>
      </c>
      <c r="P3" s="1">
        <f t="shared" si="0"/>
        <v>10</v>
      </c>
      <c r="Q3" s="1">
        <f t="shared" si="0"/>
        <v>11</v>
      </c>
      <c r="R3" s="1">
        <f t="shared" si="0"/>
        <v>12</v>
      </c>
      <c r="S3" s="1">
        <f t="shared" si="0"/>
        <v>13</v>
      </c>
      <c r="T3" s="1">
        <f t="shared" si="0"/>
        <v>14</v>
      </c>
      <c r="U3" s="1">
        <f t="shared" si="0"/>
        <v>15</v>
      </c>
      <c r="V3" s="1">
        <f t="shared" si="0"/>
        <v>16</v>
      </c>
      <c r="W3" s="1">
        <f t="shared" si="0"/>
        <v>17</v>
      </c>
      <c r="X3" s="1">
        <f t="shared" si="0"/>
        <v>18</v>
      </c>
      <c r="Y3" s="1">
        <f t="shared" si="0"/>
        <v>19</v>
      </c>
      <c r="Z3" s="1">
        <f t="shared" si="0"/>
        <v>20</v>
      </c>
    </row>
    <row r="5" spans="2:26" x14ac:dyDescent="0.25">
      <c r="B5" t="s">
        <v>69</v>
      </c>
      <c r="C5" s="65">
        <f>Premissas!$C$4</f>
        <v>365</v>
      </c>
      <c r="F5" s="14">
        <f>$C$5</f>
        <v>365</v>
      </c>
      <c r="G5" s="14">
        <f t="shared" ref="G5:Z5" si="1">$C$5</f>
        <v>365</v>
      </c>
      <c r="H5" s="14">
        <f t="shared" si="1"/>
        <v>365</v>
      </c>
      <c r="I5" s="14">
        <f t="shared" si="1"/>
        <v>365</v>
      </c>
      <c r="J5" s="14">
        <f t="shared" si="1"/>
        <v>365</v>
      </c>
      <c r="K5" s="14">
        <f t="shared" si="1"/>
        <v>365</v>
      </c>
      <c r="L5" s="14">
        <f t="shared" si="1"/>
        <v>365</v>
      </c>
      <c r="M5" s="14">
        <f t="shared" si="1"/>
        <v>365</v>
      </c>
      <c r="N5" s="14">
        <f t="shared" si="1"/>
        <v>365</v>
      </c>
      <c r="O5" s="14">
        <f t="shared" si="1"/>
        <v>365</v>
      </c>
      <c r="P5" s="14">
        <f t="shared" si="1"/>
        <v>365</v>
      </c>
      <c r="Q5" s="14">
        <f t="shared" si="1"/>
        <v>365</v>
      </c>
      <c r="R5" s="14">
        <f t="shared" si="1"/>
        <v>365</v>
      </c>
      <c r="S5" s="14">
        <f t="shared" si="1"/>
        <v>365</v>
      </c>
      <c r="T5" s="14">
        <f t="shared" si="1"/>
        <v>365</v>
      </c>
      <c r="U5" s="14">
        <f t="shared" si="1"/>
        <v>365</v>
      </c>
      <c r="V5" s="14">
        <f t="shared" si="1"/>
        <v>365</v>
      </c>
      <c r="W5" s="14">
        <f t="shared" si="1"/>
        <v>365</v>
      </c>
      <c r="X5" s="14">
        <f t="shared" si="1"/>
        <v>365</v>
      </c>
      <c r="Y5" s="14">
        <f t="shared" si="1"/>
        <v>365</v>
      </c>
      <c r="Z5" s="14">
        <f t="shared" si="1"/>
        <v>365</v>
      </c>
    </row>
    <row r="6" spans="2:26" x14ac:dyDescent="0.25">
      <c r="B6" t="s">
        <v>14</v>
      </c>
      <c r="C6" s="22">
        <f>Premissas!C5</f>
        <v>0.04</v>
      </c>
      <c r="F6" s="6">
        <f>(1+$C$6)^F3</f>
        <v>1</v>
      </c>
      <c r="G6" s="6">
        <f>(1+$C$6)^G3</f>
        <v>1.04</v>
      </c>
      <c r="H6" s="6">
        <f>(1+$C$6)^H3</f>
        <v>1.0816000000000001</v>
      </c>
      <c r="I6" s="6">
        <f t="shared" ref="I6:Z6" si="2">(1+$C$6)^I3</f>
        <v>1.1248640000000001</v>
      </c>
      <c r="J6" s="6">
        <f t="shared" si="2"/>
        <v>1.1698585600000002</v>
      </c>
      <c r="K6" s="6">
        <f t="shared" si="2"/>
        <v>1.2166529024000003</v>
      </c>
      <c r="L6" s="6">
        <f t="shared" si="2"/>
        <v>1.2653190184960004</v>
      </c>
      <c r="M6" s="6">
        <f t="shared" si="2"/>
        <v>1.3159317792358403</v>
      </c>
      <c r="N6" s="6">
        <f t="shared" si="2"/>
        <v>1.3685690504052741</v>
      </c>
      <c r="O6" s="6">
        <f t="shared" si="2"/>
        <v>1.4233118124214852</v>
      </c>
      <c r="P6" s="6">
        <f t="shared" si="2"/>
        <v>1.4802442849183446</v>
      </c>
      <c r="Q6" s="6">
        <f t="shared" si="2"/>
        <v>1.5394540563150783</v>
      </c>
      <c r="R6" s="6">
        <f t="shared" si="2"/>
        <v>1.6010322185676817</v>
      </c>
      <c r="S6" s="6">
        <f t="shared" si="2"/>
        <v>1.6650735073103891</v>
      </c>
      <c r="T6" s="6">
        <f t="shared" si="2"/>
        <v>1.7316764476028046</v>
      </c>
      <c r="U6" s="6">
        <f t="shared" si="2"/>
        <v>1.8009435055069167</v>
      </c>
      <c r="V6" s="6">
        <f t="shared" si="2"/>
        <v>1.8729812457271937</v>
      </c>
      <c r="W6" s="6">
        <f t="shared" si="2"/>
        <v>1.9479004955562815</v>
      </c>
      <c r="X6" s="6">
        <f t="shared" si="2"/>
        <v>2.025816515378533</v>
      </c>
      <c r="Y6" s="6">
        <f t="shared" si="2"/>
        <v>2.1068491759936743</v>
      </c>
      <c r="Z6" s="6">
        <f t="shared" si="2"/>
        <v>2.1911231430334213</v>
      </c>
    </row>
    <row r="9" spans="2:26" x14ac:dyDescent="0.25">
      <c r="B9" s="3" t="s">
        <v>57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1" spans="2:26" x14ac:dyDescent="0.25">
      <c r="B11" s="25" t="s">
        <v>46</v>
      </c>
      <c r="C11" s="25"/>
      <c r="D11" s="25"/>
      <c r="E11" s="25"/>
      <c r="F11" s="27">
        <v>0</v>
      </c>
      <c r="G11" s="28">
        <f ca="1">F16</f>
        <v>14716800</v>
      </c>
      <c r="H11" s="28">
        <f t="shared" ref="H11:Z11" ca="1" si="3">G16</f>
        <v>15721466.880000001</v>
      </c>
      <c r="I11" s="28">
        <f t="shared" ca="1" si="3"/>
        <v>12577173.504000003</v>
      </c>
      <c r="J11" s="28">
        <f t="shared" ca="1" si="3"/>
        <v>9432880.1280000024</v>
      </c>
      <c r="K11" s="28">
        <f t="shared" ca="1" si="3"/>
        <v>6288586.7520000031</v>
      </c>
      <c r="L11" s="28">
        <f t="shared" ca="1" si="3"/>
        <v>3144293.376000003</v>
      </c>
      <c r="M11" s="28">
        <f t="shared" ca="1" si="3"/>
        <v>2.7066562324762344E-9</v>
      </c>
      <c r="N11" s="28">
        <f t="shared" ca="1" si="3"/>
        <v>2.7066562324762344E-9</v>
      </c>
      <c r="O11" s="28">
        <f t="shared" ca="1" si="3"/>
        <v>2.7066562324762344E-9</v>
      </c>
      <c r="P11" s="28">
        <f t="shared" ca="1" si="3"/>
        <v>2.7066562324762344E-9</v>
      </c>
      <c r="Q11" s="28">
        <f t="shared" ca="1" si="3"/>
        <v>2.7066562324762344E-9</v>
      </c>
      <c r="R11" s="28">
        <f t="shared" ca="1" si="3"/>
        <v>2.7066562324762344E-9</v>
      </c>
      <c r="S11" s="28">
        <f t="shared" ca="1" si="3"/>
        <v>2.7066562324762344E-9</v>
      </c>
      <c r="T11" s="28">
        <f t="shared" ca="1" si="3"/>
        <v>2.7066562324762344E-9</v>
      </c>
      <c r="U11" s="28">
        <f t="shared" ca="1" si="3"/>
        <v>2.7066562324762344E-9</v>
      </c>
      <c r="V11" s="28">
        <f t="shared" ca="1" si="3"/>
        <v>2.7066562324762344E-9</v>
      </c>
      <c r="W11" s="28">
        <f t="shared" ca="1" si="3"/>
        <v>2.7066562324762344E-9</v>
      </c>
      <c r="X11" s="28">
        <f t="shared" ca="1" si="3"/>
        <v>2.7066562324762344E-9</v>
      </c>
      <c r="Y11" s="28">
        <f t="shared" ca="1" si="3"/>
        <v>2.7066562324762344E-9</v>
      </c>
      <c r="Z11" s="28">
        <f t="shared" ca="1" si="3"/>
        <v>2.7066562324762344E-9</v>
      </c>
    </row>
    <row r="12" spans="2:26" x14ac:dyDescent="0.25">
      <c r="B12" s="2" t="s">
        <v>47</v>
      </c>
      <c r="F12" s="14">
        <f>F20</f>
        <v>14000000</v>
      </c>
      <c r="G12" s="14">
        <f>G20</f>
        <v>0</v>
      </c>
      <c r="H12" s="14">
        <f t="shared" ref="H12:Z12" si="4">H20</f>
        <v>0</v>
      </c>
      <c r="I12" s="14">
        <f t="shared" si="4"/>
        <v>0</v>
      </c>
      <c r="J12" s="14">
        <f t="shared" si="4"/>
        <v>0</v>
      </c>
      <c r="K12" s="14">
        <f t="shared" si="4"/>
        <v>0</v>
      </c>
      <c r="L12" s="14">
        <f t="shared" si="4"/>
        <v>0</v>
      </c>
      <c r="M12" s="14">
        <f t="shared" si="4"/>
        <v>0</v>
      </c>
      <c r="N12" s="14">
        <f t="shared" si="4"/>
        <v>0</v>
      </c>
      <c r="O12" s="14">
        <f t="shared" si="4"/>
        <v>0</v>
      </c>
      <c r="P12" s="14">
        <f t="shared" si="4"/>
        <v>0</v>
      </c>
      <c r="Q12" s="14">
        <f t="shared" si="4"/>
        <v>0</v>
      </c>
      <c r="R12" s="14">
        <f t="shared" si="4"/>
        <v>0</v>
      </c>
      <c r="S12" s="14">
        <f t="shared" si="4"/>
        <v>0</v>
      </c>
      <c r="T12" s="14">
        <f t="shared" si="4"/>
        <v>0</v>
      </c>
      <c r="U12" s="14">
        <f t="shared" si="4"/>
        <v>0</v>
      </c>
      <c r="V12" s="14">
        <f t="shared" si="4"/>
        <v>0</v>
      </c>
      <c r="W12" s="14">
        <f t="shared" si="4"/>
        <v>0</v>
      </c>
      <c r="X12" s="14">
        <f t="shared" si="4"/>
        <v>0</v>
      </c>
      <c r="Y12" s="14">
        <f t="shared" si="4"/>
        <v>0</v>
      </c>
      <c r="Z12" s="14">
        <f t="shared" si="4"/>
        <v>0</v>
      </c>
    </row>
    <row r="13" spans="2:26" x14ac:dyDescent="0.25">
      <c r="B13" s="2" t="s">
        <v>66</v>
      </c>
      <c r="F13" s="14">
        <f>F27</f>
        <v>716800.00000000035</v>
      </c>
      <c r="G13" s="14">
        <f t="shared" ref="G13:Z13" ca="1" si="5">G27</f>
        <v>1004666.8800000005</v>
      </c>
      <c r="H13" s="14">
        <f t="shared" ca="1" si="5"/>
        <v>1073252.1390080005</v>
      </c>
      <c r="I13" s="14">
        <f t="shared" ca="1" si="5"/>
        <v>858601.71120640065</v>
      </c>
      <c r="J13" s="14">
        <f t="shared" ca="1" si="5"/>
        <v>643951.28340480046</v>
      </c>
      <c r="K13" s="14">
        <f t="shared" ca="1" si="5"/>
        <v>429300.85560320038</v>
      </c>
      <c r="L13" s="14">
        <f t="shared" ca="1" si="5"/>
        <v>214650.42780160028</v>
      </c>
      <c r="M13" s="14">
        <f t="shared" ca="1" si="5"/>
        <v>1.8477439880371101E-10</v>
      </c>
      <c r="N13" s="14">
        <f t="shared" ca="1" si="5"/>
        <v>1.8477439880371101E-10</v>
      </c>
      <c r="O13" s="14">
        <f t="shared" ca="1" si="5"/>
        <v>1.8477439880371101E-10</v>
      </c>
      <c r="P13" s="14">
        <f t="shared" ca="1" si="5"/>
        <v>1.8477439880371101E-10</v>
      </c>
      <c r="Q13" s="14">
        <f t="shared" ca="1" si="5"/>
        <v>1.8477439880371101E-10</v>
      </c>
      <c r="R13" s="14">
        <f t="shared" ca="1" si="5"/>
        <v>1.8477439880371101E-10</v>
      </c>
      <c r="S13" s="14">
        <f t="shared" ca="1" si="5"/>
        <v>1.8477439880371101E-10</v>
      </c>
      <c r="T13" s="14">
        <f t="shared" ca="1" si="5"/>
        <v>1.8477439880371101E-10</v>
      </c>
      <c r="U13" s="14">
        <f t="shared" ca="1" si="5"/>
        <v>1.8477439880371101E-10</v>
      </c>
      <c r="V13" s="14">
        <f t="shared" ca="1" si="5"/>
        <v>1.8477439880371101E-10</v>
      </c>
      <c r="W13" s="14">
        <f t="shared" ca="1" si="5"/>
        <v>1.8477439880371101E-10</v>
      </c>
      <c r="X13" s="14">
        <f t="shared" ca="1" si="5"/>
        <v>1.8477439880371101E-10</v>
      </c>
      <c r="Y13" s="14">
        <f t="shared" ca="1" si="5"/>
        <v>1.8477439880371101E-10</v>
      </c>
      <c r="Z13" s="14">
        <f t="shared" ca="1" si="5"/>
        <v>1.8477439880371101E-10</v>
      </c>
    </row>
    <row r="14" spans="2:26" x14ac:dyDescent="0.25">
      <c r="B14" s="2" t="s">
        <v>58</v>
      </c>
      <c r="F14" s="14">
        <f ca="1">+F24</f>
        <v>0</v>
      </c>
      <c r="G14" s="14">
        <f ca="1">+G24</f>
        <v>0</v>
      </c>
      <c r="H14" s="14">
        <f t="shared" ref="H14:Z14" ca="1" si="6">+H24</f>
        <v>-3144293.3760000002</v>
      </c>
      <c r="I14" s="14">
        <f t="shared" ca="1" si="6"/>
        <v>-3144293.3760000002</v>
      </c>
      <c r="J14" s="14">
        <f t="shared" ca="1" si="6"/>
        <v>-3144293.3760000002</v>
      </c>
      <c r="K14" s="14">
        <f t="shared" ca="1" si="6"/>
        <v>-3144293.3760000002</v>
      </c>
      <c r="L14" s="14">
        <f t="shared" ca="1" si="6"/>
        <v>-3144293.3760000002</v>
      </c>
      <c r="M14" s="14">
        <f t="shared" ca="1" si="6"/>
        <v>0</v>
      </c>
      <c r="N14" s="14">
        <f t="shared" ca="1" si="6"/>
        <v>0</v>
      </c>
      <c r="O14" s="14">
        <f t="shared" ca="1" si="6"/>
        <v>0</v>
      </c>
      <c r="P14" s="14">
        <f t="shared" ca="1" si="6"/>
        <v>0</v>
      </c>
      <c r="Q14" s="14">
        <f t="shared" ca="1" si="6"/>
        <v>0</v>
      </c>
      <c r="R14" s="14">
        <f t="shared" ca="1" si="6"/>
        <v>0</v>
      </c>
      <c r="S14" s="14">
        <f t="shared" ca="1" si="6"/>
        <v>0</v>
      </c>
      <c r="T14" s="14">
        <f t="shared" ca="1" si="6"/>
        <v>0</v>
      </c>
      <c r="U14" s="14">
        <f t="shared" ca="1" si="6"/>
        <v>0</v>
      </c>
      <c r="V14" s="14">
        <f t="shared" ca="1" si="6"/>
        <v>0</v>
      </c>
      <c r="W14" s="14">
        <f t="shared" ca="1" si="6"/>
        <v>0</v>
      </c>
      <c r="X14" s="14">
        <f t="shared" ca="1" si="6"/>
        <v>0</v>
      </c>
      <c r="Y14" s="14">
        <f t="shared" ca="1" si="6"/>
        <v>0</v>
      </c>
      <c r="Z14" s="14">
        <f t="shared" ca="1" si="6"/>
        <v>0</v>
      </c>
    </row>
    <row r="15" spans="2:26" x14ac:dyDescent="0.25">
      <c r="B15" s="2" t="s">
        <v>65</v>
      </c>
      <c r="F15" s="14">
        <f>IF(F3&lt;$C$25,0,-F27)</f>
        <v>0</v>
      </c>
      <c r="G15" s="14">
        <f t="shared" ref="G15:Z15" si="7">IF(G3&lt;$C$25,0,-G27)</f>
        <v>0</v>
      </c>
      <c r="H15" s="14">
        <f t="shared" ca="1" si="7"/>
        <v>-1073252.1390080005</v>
      </c>
      <c r="I15" s="14">
        <f t="shared" ca="1" si="7"/>
        <v>-858601.71120640065</v>
      </c>
      <c r="J15" s="14">
        <f t="shared" ca="1" si="7"/>
        <v>-643951.28340480046</v>
      </c>
      <c r="K15" s="14">
        <f t="shared" ca="1" si="7"/>
        <v>-429300.85560320038</v>
      </c>
      <c r="L15" s="14">
        <f t="shared" ca="1" si="7"/>
        <v>-214650.42780160028</v>
      </c>
      <c r="M15" s="14">
        <f t="shared" ca="1" si="7"/>
        <v>-1.8477439880371101E-10</v>
      </c>
      <c r="N15" s="14">
        <f t="shared" ca="1" si="7"/>
        <v>-1.8477439880371101E-10</v>
      </c>
      <c r="O15" s="14">
        <f t="shared" ca="1" si="7"/>
        <v>-1.8477439880371101E-10</v>
      </c>
      <c r="P15" s="14">
        <f t="shared" ca="1" si="7"/>
        <v>-1.8477439880371101E-10</v>
      </c>
      <c r="Q15" s="14">
        <f t="shared" ca="1" si="7"/>
        <v>-1.8477439880371101E-10</v>
      </c>
      <c r="R15" s="14">
        <f t="shared" ca="1" si="7"/>
        <v>-1.8477439880371101E-10</v>
      </c>
      <c r="S15" s="14">
        <f t="shared" ca="1" si="7"/>
        <v>-1.8477439880371101E-10</v>
      </c>
      <c r="T15" s="14">
        <f t="shared" ca="1" si="7"/>
        <v>-1.8477439880371101E-10</v>
      </c>
      <c r="U15" s="14">
        <f t="shared" ca="1" si="7"/>
        <v>-1.8477439880371101E-10</v>
      </c>
      <c r="V15" s="14">
        <f t="shared" ca="1" si="7"/>
        <v>-1.8477439880371101E-10</v>
      </c>
      <c r="W15" s="14">
        <f t="shared" ca="1" si="7"/>
        <v>-1.8477439880371101E-10</v>
      </c>
      <c r="X15" s="14">
        <f t="shared" ca="1" si="7"/>
        <v>-1.8477439880371101E-10</v>
      </c>
      <c r="Y15" s="14">
        <f t="shared" ca="1" si="7"/>
        <v>-1.8477439880371101E-10</v>
      </c>
      <c r="Z15" s="14">
        <f t="shared" ca="1" si="7"/>
        <v>-1.8477439880371101E-10</v>
      </c>
    </row>
    <row r="16" spans="2:26" x14ac:dyDescent="0.25">
      <c r="B16" s="25" t="s">
        <v>49</v>
      </c>
      <c r="C16" s="25"/>
      <c r="D16" s="25"/>
      <c r="E16" s="25"/>
      <c r="F16" s="28">
        <f ca="1">SUM(F11:F15)</f>
        <v>14716800</v>
      </c>
      <c r="G16" s="28">
        <f t="shared" ref="G16:Z16" ca="1" si="8">SUM(G11:G15)</f>
        <v>15721466.880000001</v>
      </c>
      <c r="H16" s="28">
        <f t="shared" ca="1" si="8"/>
        <v>12577173.504000003</v>
      </c>
      <c r="I16" s="28">
        <f t="shared" ca="1" si="8"/>
        <v>9432880.1280000024</v>
      </c>
      <c r="J16" s="28">
        <f t="shared" ca="1" si="8"/>
        <v>6288586.7520000031</v>
      </c>
      <c r="K16" s="28">
        <f t="shared" ca="1" si="8"/>
        <v>3144293.376000003</v>
      </c>
      <c r="L16" s="28">
        <f t="shared" ca="1" si="8"/>
        <v>2.7066562324762344E-9</v>
      </c>
      <c r="M16" s="28">
        <f t="shared" ca="1" si="8"/>
        <v>2.7066562324762344E-9</v>
      </c>
      <c r="N16" s="28">
        <f t="shared" ca="1" si="8"/>
        <v>2.7066562324762344E-9</v>
      </c>
      <c r="O16" s="28">
        <f t="shared" ca="1" si="8"/>
        <v>2.7066562324762344E-9</v>
      </c>
      <c r="P16" s="28">
        <f t="shared" ca="1" si="8"/>
        <v>2.7066562324762344E-9</v>
      </c>
      <c r="Q16" s="28">
        <f t="shared" ca="1" si="8"/>
        <v>2.7066562324762344E-9</v>
      </c>
      <c r="R16" s="28">
        <f t="shared" ca="1" si="8"/>
        <v>2.7066562324762344E-9</v>
      </c>
      <c r="S16" s="28">
        <f t="shared" ca="1" si="8"/>
        <v>2.7066562324762344E-9</v>
      </c>
      <c r="T16" s="28">
        <f t="shared" ca="1" si="8"/>
        <v>2.7066562324762344E-9</v>
      </c>
      <c r="U16" s="28">
        <f t="shared" ca="1" si="8"/>
        <v>2.7066562324762344E-9</v>
      </c>
      <c r="V16" s="28">
        <f t="shared" ca="1" si="8"/>
        <v>2.7066562324762344E-9</v>
      </c>
      <c r="W16" s="28">
        <f t="shared" ca="1" si="8"/>
        <v>2.7066562324762344E-9</v>
      </c>
      <c r="X16" s="28">
        <f t="shared" ca="1" si="8"/>
        <v>2.7066562324762344E-9</v>
      </c>
      <c r="Y16" s="28">
        <f t="shared" ca="1" si="8"/>
        <v>2.7066562324762344E-9</v>
      </c>
      <c r="Z16" s="28">
        <f t="shared" ca="1" si="8"/>
        <v>2.7066562324762344E-9</v>
      </c>
    </row>
    <row r="17" spans="2:26" x14ac:dyDescent="0.25"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1"/>
    </row>
    <row r="18" spans="2:26" x14ac:dyDescent="0.25">
      <c r="B18" s="3" t="s">
        <v>59</v>
      </c>
      <c r="C18" s="3"/>
      <c r="D18" s="3"/>
      <c r="E18" s="3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20" spans="2:26" x14ac:dyDescent="0.25">
      <c r="B20" s="2" t="s">
        <v>52</v>
      </c>
      <c r="C20" s="36">
        <f>Premissas!C64</f>
        <v>0.7</v>
      </c>
      <c r="D20" t="s">
        <v>45</v>
      </c>
      <c r="F20" s="21">
        <f>$C$20*Investimentos!F17</f>
        <v>14000000</v>
      </c>
      <c r="G20" s="17">
        <f>$C$20*Investimentos!G17</f>
        <v>0</v>
      </c>
      <c r="H20" s="17">
        <f>$C$20*Investimentos!H17</f>
        <v>0</v>
      </c>
      <c r="I20" s="17">
        <f>$C$20*Investimentos!I17</f>
        <v>0</v>
      </c>
      <c r="J20" s="17">
        <f>$C$20*Investimentos!J17</f>
        <v>0</v>
      </c>
      <c r="K20" s="17">
        <f>$C$20*Investimentos!K17</f>
        <v>0</v>
      </c>
      <c r="L20" s="17">
        <f>$C$20*Investimentos!L17</f>
        <v>0</v>
      </c>
      <c r="M20" s="17">
        <f>$C$20*Investimentos!M17</f>
        <v>0</v>
      </c>
      <c r="N20" s="17">
        <f>$C$20*Investimentos!N17</f>
        <v>0</v>
      </c>
      <c r="O20" s="17">
        <f>$C$20*Investimentos!O17</f>
        <v>0</v>
      </c>
      <c r="P20" s="17">
        <f>$C$20*Investimentos!P17</f>
        <v>0</v>
      </c>
      <c r="Q20" s="17">
        <f>$C$20*Investimentos!Q17</f>
        <v>0</v>
      </c>
      <c r="R20" s="17">
        <f>$C$20*Investimentos!R17</f>
        <v>0</v>
      </c>
      <c r="S20" s="17">
        <f>$C$20*Investimentos!S17</f>
        <v>0</v>
      </c>
      <c r="T20" s="17">
        <f>$C$20*Investimentos!T17</f>
        <v>0</v>
      </c>
      <c r="U20" s="17">
        <f>$C$20*Investimentos!U17</f>
        <v>0</v>
      </c>
      <c r="V20" s="17">
        <f>$C$20*Investimentos!V17</f>
        <v>0</v>
      </c>
      <c r="W20" s="17">
        <f>$C$20*Investimentos!W17</f>
        <v>0</v>
      </c>
      <c r="X20" s="17">
        <f>$C$20*Investimentos!X17</f>
        <v>0</v>
      </c>
      <c r="Y20" s="17">
        <f>$C$20*Investimentos!Y17</f>
        <v>0</v>
      </c>
      <c r="Z20" s="17">
        <f>$C$20*Investimentos!Z17</f>
        <v>0</v>
      </c>
    </row>
    <row r="21" spans="2:26" x14ac:dyDescent="0.25">
      <c r="C21" s="5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2:26" x14ac:dyDescent="0.25">
      <c r="B22" s="7" t="s">
        <v>60</v>
      </c>
      <c r="C22" s="56">
        <f>Premissas!C65</f>
        <v>7</v>
      </c>
      <c r="F22" s="14"/>
    </row>
    <row r="23" spans="2:26" x14ac:dyDescent="0.25">
      <c r="B23" s="7" t="s">
        <v>133</v>
      </c>
      <c r="C23" s="56">
        <f>Premissas!C66</f>
        <v>2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1"/>
    </row>
    <row r="24" spans="2:26" x14ac:dyDescent="0.25">
      <c r="B24" s="7" t="s">
        <v>61</v>
      </c>
      <c r="C24" s="21">
        <f>C22-C23</f>
        <v>5</v>
      </c>
      <c r="F24" s="14">
        <f t="shared" ref="F24:G24" ca="1" si="9">IFERROR(-SUM(OFFSET(F20,0,-$C$23,,-MIN(F3-$F$3,$C$24)))/$C$24,0)+IFERROR(-SUM(OFFSET(G31,0,-$C$23,,-MIN(F3-$F$3,$C$24)))/$C$24,0)</f>
        <v>0</v>
      </c>
      <c r="G24" s="14">
        <f t="shared" ca="1" si="9"/>
        <v>0</v>
      </c>
      <c r="H24" s="14">
        <f ca="1">IFERROR(-SUM(OFFSET(H20,0,-$C$23,,-MIN(H3-$F$3,$C$24)))/$C$24,0)+IFERROR(-SUM(OFFSET(I31,0,-$C$23,,-MIN(H3-$F$3,$C$24)))/$C$24,0)</f>
        <v>-3144293.3760000002</v>
      </c>
      <c r="I24" s="14">
        <f t="shared" ref="I24:Z24" ca="1" si="10">IFERROR(-SUM(OFFSET(I20,0,-$C$23,,-MIN(I3-$F$3,$C$24)))/$C$24,0)+IFERROR(-SUM(OFFSET(J31,0,-$C$23,,-MIN(I3-$F$3,$C$24)))/$C$24,0)</f>
        <v>-3144293.3760000002</v>
      </c>
      <c r="J24" s="14">
        <f t="shared" ca="1" si="10"/>
        <v>-3144293.3760000002</v>
      </c>
      <c r="K24" s="14">
        <f t="shared" ca="1" si="10"/>
        <v>-3144293.3760000002</v>
      </c>
      <c r="L24" s="14">
        <f t="shared" ca="1" si="10"/>
        <v>-3144293.3760000002</v>
      </c>
      <c r="M24" s="14">
        <f t="shared" ca="1" si="10"/>
        <v>0</v>
      </c>
      <c r="N24" s="14">
        <f t="shared" ca="1" si="10"/>
        <v>0</v>
      </c>
      <c r="O24" s="14">
        <f t="shared" ca="1" si="10"/>
        <v>0</v>
      </c>
      <c r="P24" s="14">
        <f t="shared" ca="1" si="10"/>
        <v>0</v>
      </c>
      <c r="Q24" s="14">
        <f t="shared" ca="1" si="10"/>
        <v>0</v>
      </c>
      <c r="R24" s="14">
        <f t="shared" ca="1" si="10"/>
        <v>0</v>
      </c>
      <c r="S24" s="14">
        <f t="shared" ca="1" si="10"/>
        <v>0</v>
      </c>
      <c r="T24" s="14">
        <f t="shared" ca="1" si="10"/>
        <v>0</v>
      </c>
      <c r="U24" s="14">
        <f t="shared" ca="1" si="10"/>
        <v>0</v>
      </c>
      <c r="V24" s="14">
        <f t="shared" ca="1" si="10"/>
        <v>0</v>
      </c>
      <c r="W24" s="14">
        <f t="shared" ca="1" si="10"/>
        <v>0</v>
      </c>
      <c r="X24" s="14">
        <f t="shared" ca="1" si="10"/>
        <v>0</v>
      </c>
      <c r="Y24" s="14">
        <f t="shared" ca="1" si="10"/>
        <v>0</v>
      </c>
      <c r="Z24" s="14">
        <f t="shared" ca="1" si="10"/>
        <v>0</v>
      </c>
    </row>
    <row r="25" spans="2:26" x14ac:dyDescent="0.25">
      <c r="B25" s="7" t="s">
        <v>134</v>
      </c>
      <c r="C25" s="56">
        <f>Premissas!C68</f>
        <v>2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7" spans="2:26" x14ac:dyDescent="0.25">
      <c r="B27" s="7" t="s">
        <v>62</v>
      </c>
      <c r="C27" s="16">
        <f>((1+C28)*(1+C29))-1</f>
        <v>0.10240000000000005</v>
      </c>
      <c r="F27" s="11">
        <f t="shared" ref="F27:L27" si="11">AVERAGE(E16,F11:F12)*$C27</f>
        <v>716800.00000000035</v>
      </c>
      <c r="G27" s="11">
        <f t="shared" ca="1" si="11"/>
        <v>1004666.8800000005</v>
      </c>
      <c r="H27" s="11">
        <f ca="1">AVERAGE(G16,H11:H12)*$C27</f>
        <v>1073252.1390080005</v>
      </c>
      <c r="I27" s="11">
        <f t="shared" ca="1" si="11"/>
        <v>858601.71120640065</v>
      </c>
      <c r="J27" s="11">
        <f t="shared" ca="1" si="11"/>
        <v>643951.28340480046</v>
      </c>
      <c r="K27" s="11">
        <f t="shared" ca="1" si="11"/>
        <v>429300.85560320038</v>
      </c>
      <c r="L27" s="11">
        <f t="shared" ca="1" si="11"/>
        <v>214650.42780160028</v>
      </c>
      <c r="M27" s="11">
        <f t="shared" ref="M27:Z27" ca="1" si="12">AVERAGE(L16,M11:M12)*$C27</f>
        <v>1.8477439880371101E-10</v>
      </c>
      <c r="N27" s="11">
        <f t="shared" ca="1" si="12"/>
        <v>1.8477439880371101E-10</v>
      </c>
      <c r="O27" s="11">
        <f t="shared" ca="1" si="12"/>
        <v>1.8477439880371101E-10</v>
      </c>
      <c r="P27" s="11">
        <f t="shared" ca="1" si="12"/>
        <v>1.8477439880371101E-10</v>
      </c>
      <c r="Q27" s="11">
        <f t="shared" ca="1" si="12"/>
        <v>1.8477439880371101E-10</v>
      </c>
      <c r="R27" s="11">
        <f t="shared" ca="1" si="12"/>
        <v>1.8477439880371101E-10</v>
      </c>
      <c r="S27" s="11">
        <f t="shared" ca="1" si="12"/>
        <v>1.8477439880371101E-10</v>
      </c>
      <c r="T27" s="11">
        <f t="shared" ca="1" si="12"/>
        <v>1.8477439880371101E-10</v>
      </c>
      <c r="U27" s="11">
        <f t="shared" ca="1" si="12"/>
        <v>1.8477439880371101E-10</v>
      </c>
      <c r="V27" s="11">
        <f t="shared" ca="1" si="12"/>
        <v>1.8477439880371101E-10</v>
      </c>
      <c r="W27" s="11">
        <f t="shared" ca="1" si="12"/>
        <v>1.8477439880371101E-10</v>
      </c>
      <c r="X27" s="11">
        <f t="shared" ca="1" si="12"/>
        <v>1.8477439880371101E-10</v>
      </c>
      <c r="Y27" s="11">
        <f t="shared" ca="1" si="12"/>
        <v>1.8477439880371101E-10</v>
      </c>
      <c r="Z27" s="11">
        <f t="shared" ca="1" si="12"/>
        <v>1.8477439880371101E-10</v>
      </c>
    </row>
    <row r="28" spans="2:26" x14ac:dyDescent="0.25">
      <c r="B28" s="8" t="s">
        <v>64</v>
      </c>
      <c r="C28" s="64">
        <f>Premissas!C70</f>
        <v>0.04</v>
      </c>
    </row>
    <row r="29" spans="2:26" x14ac:dyDescent="0.25">
      <c r="B29" s="8" t="s">
        <v>63</v>
      </c>
      <c r="C29" s="64">
        <f>Premissas!C71</f>
        <v>0.06</v>
      </c>
    </row>
    <row r="31" spans="2:26" x14ac:dyDescent="0.25">
      <c r="B31" t="s">
        <v>135</v>
      </c>
      <c r="F31" s="11">
        <f>IF(F3=$C$25-1,SUM($F$27:F27),IF(OR(F3&lt;$C$25,F3&gt;=$C$25),0))</f>
        <v>0</v>
      </c>
      <c r="G31" s="11">
        <f ca="1">IF(G3=$C$25-1,SUM($F$27:G27),IF(OR(G3&lt;$C$25,G3&gt;=$C$25),0))</f>
        <v>1721466.8800000008</v>
      </c>
      <c r="H31" s="11">
        <f>IF(H3=$C$25-1,SUM($F$27:H27),IF(OR(H3&lt;$C$25,H3&gt;=$C$25),0))</f>
        <v>0</v>
      </c>
      <c r="I31" s="11">
        <f>IF(I3=$C$25-1,SUM($F$27:I27),IF(OR(I3&lt;$C$25,I3&gt;=$C$25),0))</f>
        <v>0</v>
      </c>
      <c r="J31" s="11">
        <f>IF(J3=$C$25-1,SUM($F$27:J27),IF(OR(J3&lt;$C$25,J3&gt;=$C$25),0))</f>
        <v>0</v>
      </c>
      <c r="K31" s="11">
        <f>IF(K3=$C$25-1,SUM($F$27:K27),IF(OR(K3&lt;$C$25,K3&gt;=$C$25),0))</f>
        <v>0</v>
      </c>
      <c r="L31" s="11">
        <f>IF(L3=$C$25-1,SUM($F$27:L27),IF(OR(L3&lt;$C$25,L3&gt;=$C$25),0))</f>
        <v>0</v>
      </c>
      <c r="M31" s="11">
        <f>IF(M3=$C$25-1,SUM($F$27:M27),IF(OR(M3&lt;$C$25,M3&gt;=$C$25),0))</f>
        <v>0</v>
      </c>
      <c r="N31" s="11">
        <f>IF(N3=$C$25-1,SUM($F$27:N27),IF(OR(N3&lt;$C$25,N3&gt;=$C$25),0))</f>
        <v>0</v>
      </c>
      <c r="O31" s="11">
        <f>IF(O3=$C$25-1,SUM($F$27:O27),IF(OR(O3&lt;$C$25,O3&gt;=$C$25),0))</f>
        <v>0</v>
      </c>
      <c r="P31" s="11">
        <f>IF(P3=$C$25-1,SUM($F$27:P27),IF(OR(P3&lt;$C$25,P3&gt;=$C$25),0))</f>
        <v>0</v>
      </c>
      <c r="Q31" s="11">
        <f>IF(Q3=$C$25-1,SUM($F$27:Q27),IF(OR(Q3&lt;$C$25,Q3&gt;=$C$25),0))</f>
        <v>0</v>
      </c>
      <c r="R31" s="11">
        <f>IF(R3=$C$25-1,SUM($F$27:R27),IF(OR(R3&lt;$C$25,R3&gt;=$C$25),0))</f>
        <v>0</v>
      </c>
      <c r="S31" s="11">
        <f>IF(S3=$C$25-1,SUM($F$27:S27),IF(OR(S3&lt;$C$25,S3&gt;=$C$25),0))</f>
        <v>0</v>
      </c>
      <c r="T31" s="11">
        <f>IF(T3=$C$25-1,SUM($F$27:T27),IF(OR(T3&lt;$C$25,T3&gt;=$C$25),0))</f>
        <v>0</v>
      </c>
      <c r="U31" s="11">
        <f>IF(U3=$C$25-1,SUM($F$27:U27),IF(OR(U3&lt;$C$25,U3&gt;=$C$25),0))</f>
        <v>0</v>
      </c>
      <c r="V31" s="11">
        <f>IF(V3=$C$25-1,SUM($F$27:V27),IF(OR(V3&lt;$C$25,V3&gt;=$C$25),0))</f>
        <v>0</v>
      </c>
      <c r="W31" s="11">
        <f>IF(W3=$C$25-1,SUM($F$27:W27),IF(OR(W3&lt;$C$25,W3&gt;=$C$25),0))</f>
        <v>0</v>
      </c>
      <c r="X31" s="11">
        <f>IF(X3=$C$25-1,SUM($F$27:X27),IF(OR(X3&lt;$C$25,X3&gt;=$C$25),0))</f>
        <v>0</v>
      </c>
      <c r="Y31" s="11">
        <f>IF(Y3=$C$25-1,SUM($F$27:Y27),IF(OR(Y3&lt;$C$25,Y3&gt;=$C$25),0))</f>
        <v>0</v>
      </c>
      <c r="Z31" s="11">
        <f>IF(Z3=$C$25-1,SUM($F$27:Z27),IF(OR(Z3&lt;$C$25,Z3&gt;=$C$25),0))</f>
        <v>0</v>
      </c>
    </row>
    <row r="32" spans="2:26" x14ac:dyDescent="0.25">
      <c r="H32" s="11"/>
    </row>
    <row r="33" spans="7:15" x14ac:dyDescent="0.25">
      <c r="H33" s="11"/>
    </row>
    <row r="37" spans="7:15" x14ac:dyDescent="0.25">
      <c r="G37" s="14"/>
      <c r="H37" s="14"/>
      <c r="I37" s="14"/>
      <c r="J37" s="14"/>
      <c r="K37" s="14"/>
      <c r="L37" s="14"/>
      <c r="M37" s="14"/>
      <c r="N37" s="14"/>
      <c r="O37" s="14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D1AC-4D14-4442-B9FE-366F8E8D7075}">
  <dimension ref="B3:Z29"/>
  <sheetViews>
    <sheetView showGridLines="0" zoomScale="80" zoomScaleNormal="80" workbookViewId="0">
      <pane xSplit="4" ySplit="6" topLeftCell="E7" activePane="bottomRight" state="frozen"/>
      <selection activeCell="I44" sqref="I44"/>
      <selection pane="topRight" activeCell="I44" sqref="I44"/>
      <selection pane="bottomLeft" activeCell="I44" sqref="I44"/>
      <selection pane="bottomRight" activeCell="C5" sqref="C5"/>
    </sheetView>
  </sheetViews>
  <sheetFormatPr defaultRowHeight="15" x14ac:dyDescent="0.25"/>
  <cols>
    <col min="2" max="2" width="25.42578125" customWidth="1"/>
    <col min="3" max="3" width="10.140625" customWidth="1"/>
    <col min="4" max="4" width="25.42578125" customWidth="1"/>
    <col min="6" max="6" width="9.7109375" bestFit="1" customWidth="1"/>
    <col min="7" max="14" width="13.42578125" bestFit="1" customWidth="1"/>
    <col min="15" max="26" width="14.5703125" bestFit="1" customWidth="1"/>
  </cols>
  <sheetData>
    <row r="3" spans="2:26" x14ac:dyDescent="0.25">
      <c r="F3" s="1">
        <v>0</v>
      </c>
      <c r="G3" s="1">
        <f>F3+1</f>
        <v>1</v>
      </c>
      <c r="H3" s="1">
        <f t="shared" ref="H3:Z3" si="0">G3+1</f>
        <v>2</v>
      </c>
      <c r="I3" s="1">
        <f t="shared" si="0"/>
        <v>3</v>
      </c>
      <c r="J3" s="1">
        <f t="shared" si="0"/>
        <v>4</v>
      </c>
      <c r="K3" s="1">
        <f t="shared" si="0"/>
        <v>5</v>
      </c>
      <c r="L3" s="1">
        <f t="shared" si="0"/>
        <v>6</v>
      </c>
      <c r="M3" s="1">
        <f t="shared" si="0"/>
        <v>7</v>
      </c>
      <c r="N3" s="1">
        <f t="shared" si="0"/>
        <v>8</v>
      </c>
      <c r="O3" s="1">
        <f t="shared" si="0"/>
        <v>9</v>
      </c>
      <c r="P3" s="1">
        <f t="shared" si="0"/>
        <v>10</v>
      </c>
      <c r="Q3" s="1">
        <f t="shared" si="0"/>
        <v>11</v>
      </c>
      <c r="R3" s="1">
        <f t="shared" si="0"/>
        <v>12</v>
      </c>
      <c r="S3" s="1">
        <f t="shared" si="0"/>
        <v>13</v>
      </c>
      <c r="T3" s="1">
        <f t="shared" si="0"/>
        <v>14</v>
      </c>
      <c r="U3" s="1">
        <f t="shared" si="0"/>
        <v>15</v>
      </c>
      <c r="V3" s="1">
        <f t="shared" si="0"/>
        <v>16</v>
      </c>
      <c r="W3" s="1">
        <f t="shared" si="0"/>
        <v>17</v>
      </c>
      <c r="X3" s="1">
        <f t="shared" si="0"/>
        <v>18</v>
      </c>
      <c r="Y3" s="1">
        <f t="shared" si="0"/>
        <v>19</v>
      </c>
      <c r="Z3" s="1">
        <f t="shared" si="0"/>
        <v>20</v>
      </c>
    </row>
    <row r="5" spans="2:26" x14ac:dyDescent="0.25">
      <c r="B5" t="s">
        <v>69</v>
      </c>
      <c r="C5" s="65">
        <f>Premissas!$C$4</f>
        <v>365</v>
      </c>
      <c r="F5" s="14">
        <f>$C$5</f>
        <v>365</v>
      </c>
      <c r="G5" s="14">
        <f t="shared" ref="G5:Z5" si="1">$C$5</f>
        <v>365</v>
      </c>
      <c r="H5" s="14">
        <f t="shared" si="1"/>
        <v>365</v>
      </c>
      <c r="I5" s="14">
        <f t="shared" si="1"/>
        <v>365</v>
      </c>
      <c r="J5" s="14">
        <f t="shared" si="1"/>
        <v>365</v>
      </c>
      <c r="K5" s="14">
        <f t="shared" si="1"/>
        <v>365</v>
      </c>
      <c r="L5" s="14">
        <f t="shared" si="1"/>
        <v>365</v>
      </c>
      <c r="M5" s="14">
        <f t="shared" si="1"/>
        <v>365</v>
      </c>
      <c r="N5" s="14">
        <f t="shared" si="1"/>
        <v>365</v>
      </c>
      <c r="O5" s="14">
        <f t="shared" si="1"/>
        <v>365</v>
      </c>
      <c r="P5" s="14">
        <f t="shared" si="1"/>
        <v>365</v>
      </c>
      <c r="Q5" s="14">
        <f t="shared" si="1"/>
        <v>365</v>
      </c>
      <c r="R5" s="14">
        <f t="shared" si="1"/>
        <v>365</v>
      </c>
      <c r="S5" s="14">
        <f t="shared" si="1"/>
        <v>365</v>
      </c>
      <c r="T5" s="14">
        <f t="shared" si="1"/>
        <v>365</v>
      </c>
      <c r="U5" s="14">
        <f t="shared" si="1"/>
        <v>365</v>
      </c>
      <c r="V5" s="14">
        <f t="shared" si="1"/>
        <v>365</v>
      </c>
      <c r="W5" s="14">
        <f t="shared" si="1"/>
        <v>365</v>
      </c>
      <c r="X5" s="14">
        <f t="shared" si="1"/>
        <v>365</v>
      </c>
      <c r="Y5" s="14">
        <f t="shared" si="1"/>
        <v>365</v>
      </c>
      <c r="Z5" s="14">
        <f t="shared" si="1"/>
        <v>365</v>
      </c>
    </row>
    <row r="6" spans="2:26" x14ac:dyDescent="0.25">
      <c r="B6" t="s">
        <v>14</v>
      </c>
      <c r="C6" s="22">
        <f>Premissas!C5</f>
        <v>0.04</v>
      </c>
      <c r="F6" s="6">
        <f>(1+$C$6)^F3</f>
        <v>1</v>
      </c>
      <c r="G6" s="6">
        <f>(1+$C$6)^G3</f>
        <v>1.04</v>
      </c>
      <c r="H6" s="6">
        <f>(1+$C$6)^H3</f>
        <v>1.0816000000000001</v>
      </c>
      <c r="I6" s="6">
        <f t="shared" ref="I6:Z6" si="2">(1+$C$6)^I3</f>
        <v>1.1248640000000001</v>
      </c>
      <c r="J6" s="6">
        <f t="shared" si="2"/>
        <v>1.1698585600000002</v>
      </c>
      <c r="K6" s="6">
        <f t="shared" si="2"/>
        <v>1.2166529024000003</v>
      </c>
      <c r="L6" s="6">
        <f t="shared" si="2"/>
        <v>1.2653190184960004</v>
      </c>
      <c r="M6" s="6">
        <f t="shared" si="2"/>
        <v>1.3159317792358403</v>
      </c>
      <c r="N6" s="6">
        <f t="shared" si="2"/>
        <v>1.3685690504052741</v>
      </c>
      <c r="O6" s="6">
        <f t="shared" si="2"/>
        <v>1.4233118124214852</v>
      </c>
      <c r="P6" s="6">
        <f t="shared" si="2"/>
        <v>1.4802442849183446</v>
      </c>
      <c r="Q6" s="6">
        <f t="shared" si="2"/>
        <v>1.5394540563150783</v>
      </c>
      <c r="R6" s="6">
        <f t="shared" si="2"/>
        <v>1.6010322185676817</v>
      </c>
      <c r="S6" s="6">
        <f t="shared" si="2"/>
        <v>1.6650735073103891</v>
      </c>
      <c r="T6" s="6">
        <f t="shared" si="2"/>
        <v>1.7316764476028046</v>
      </c>
      <c r="U6" s="6">
        <f t="shared" si="2"/>
        <v>1.8009435055069167</v>
      </c>
      <c r="V6" s="6">
        <f t="shared" si="2"/>
        <v>1.8729812457271937</v>
      </c>
      <c r="W6" s="6">
        <f t="shared" si="2"/>
        <v>1.9479004955562815</v>
      </c>
      <c r="X6" s="6">
        <f t="shared" si="2"/>
        <v>2.025816515378533</v>
      </c>
      <c r="Y6" s="6">
        <f t="shared" si="2"/>
        <v>2.1068491759936743</v>
      </c>
      <c r="Z6" s="6">
        <f t="shared" si="2"/>
        <v>2.1911231430334213</v>
      </c>
    </row>
    <row r="8" spans="2:26" x14ac:dyDescent="0.25">
      <c r="B8" s="3" t="s">
        <v>76</v>
      </c>
      <c r="C8" s="3"/>
      <c r="D8" s="3"/>
      <c r="E8" s="3"/>
      <c r="F8" s="15">
        <f>+F11+F12-F13</f>
        <v>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10" spans="2:26" x14ac:dyDescent="0.25">
      <c r="B10" t="s">
        <v>77</v>
      </c>
      <c r="F10" s="11">
        <f>+F11+F12-F13</f>
        <v>0</v>
      </c>
      <c r="G10" s="11">
        <f t="shared" ref="G10:Z10" si="3">+G11+G12-G13</f>
        <v>285643.8356164383</v>
      </c>
      <c r="H10" s="11">
        <f t="shared" si="3"/>
        <v>311589.69863013702</v>
      </c>
      <c r="I10" s="11">
        <f t="shared" si="3"/>
        <v>339909.24624657549</v>
      </c>
      <c r="J10" s="11">
        <f t="shared" si="3"/>
        <v>370820.32405742479</v>
      </c>
      <c r="K10" s="11">
        <f t="shared" si="3"/>
        <v>404560.79811311886</v>
      </c>
      <c r="L10" s="11">
        <f t="shared" si="3"/>
        <v>441390.39595163311</v>
      </c>
      <c r="M10" s="11">
        <f t="shared" si="3"/>
        <v>481592.71696777508</v>
      </c>
      <c r="N10" s="11">
        <f t="shared" si="3"/>
        <v>525477.42770094576</v>
      </c>
      <c r="O10" s="11">
        <f t="shared" si="3"/>
        <v>573382.65905245359</v>
      </c>
      <c r="P10" s="11">
        <f t="shared" si="3"/>
        <v>625677.6240084212</v>
      </c>
      <c r="Q10" s="11">
        <f t="shared" si="3"/>
        <v>682765.47615326312</v>
      </c>
      <c r="R10" s="11">
        <f t="shared" si="3"/>
        <v>745086.43112487323</v>
      </c>
      <c r="S10" s="11">
        <f t="shared" si="3"/>
        <v>813121.17520049226</v>
      </c>
      <c r="T10" s="11">
        <f t="shared" si="3"/>
        <v>887394.58742755302</v>
      </c>
      <c r="U10" s="11">
        <f t="shared" si="3"/>
        <v>968479.80414384836</v>
      </c>
      <c r="V10" s="11">
        <f t="shared" si="3"/>
        <v>1057002.6573849607</v>
      </c>
      <c r="W10" s="11">
        <f t="shared" si="3"/>
        <v>1153646.5215746509</v>
      </c>
      <c r="X10" s="11">
        <f t="shared" si="3"/>
        <v>1259157.6060582038</v>
      </c>
      <c r="Y10" s="11">
        <f t="shared" si="3"/>
        <v>1374350.7344941909</v>
      </c>
      <c r="Z10" s="11">
        <f t="shared" si="3"/>
        <v>1500115.6558934338</v>
      </c>
    </row>
    <row r="11" spans="2:26" x14ac:dyDescent="0.25">
      <c r="B11" s="2" t="s">
        <v>67</v>
      </c>
      <c r="F11" s="11">
        <f>+F19</f>
        <v>0</v>
      </c>
      <c r="G11" s="11">
        <f>+G19</f>
        <v>239342.46575342465</v>
      </c>
      <c r="H11" s="11">
        <f t="shared" ref="H11:Z11" si="4">+H19</f>
        <v>261361.97260273976</v>
      </c>
      <c r="I11" s="11">
        <f t="shared" si="4"/>
        <v>285407.27408219193</v>
      </c>
      <c r="J11" s="11">
        <f t="shared" si="4"/>
        <v>311664.74329775351</v>
      </c>
      <c r="K11" s="11">
        <f t="shared" si="4"/>
        <v>340337.8996811469</v>
      </c>
      <c r="L11" s="11">
        <f t="shared" si="4"/>
        <v>371648.98645181238</v>
      </c>
      <c r="M11" s="11">
        <f t="shared" si="4"/>
        <v>405840.69320537912</v>
      </c>
      <c r="N11" s="11">
        <f t="shared" si="4"/>
        <v>443178.03698027396</v>
      </c>
      <c r="O11" s="11">
        <f t="shared" si="4"/>
        <v>483950.41638245923</v>
      </c>
      <c r="P11" s="11">
        <f t="shared" si="4"/>
        <v>528473.8546896457</v>
      </c>
      <c r="Q11" s="11">
        <f t="shared" si="4"/>
        <v>577093.44932109304</v>
      </c>
      <c r="R11" s="11">
        <f t="shared" si="4"/>
        <v>630186.04665863363</v>
      </c>
      <c r="S11" s="11">
        <f t="shared" si="4"/>
        <v>688163.16295122798</v>
      </c>
      <c r="T11" s="11">
        <f t="shared" si="4"/>
        <v>751474.17394274101</v>
      </c>
      <c r="U11" s="11">
        <f t="shared" si="4"/>
        <v>820609.79794547323</v>
      </c>
      <c r="V11" s="11">
        <f t="shared" si="4"/>
        <v>896105.89935645671</v>
      </c>
      <c r="W11" s="11">
        <f t="shared" si="4"/>
        <v>978547.64209725079</v>
      </c>
      <c r="X11" s="11">
        <f t="shared" si="4"/>
        <v>1068574.0251701979</v>
      </c>
      <c r="Y11" s="11">
        <f t="shared" si="4"/>
        <v>1166882.8354858565</v>
      </c>
      <c r="Z11" s="11">
        <f t="shared" si="4"/>
        <v>1274236.0563505553</v>
      </c>
    </row>
    <row r="12" spans="2:26" x14ac:dyDescent="0.25">
      <c r="B12" s="2" t="s">
        <v>70</v>
      </c>
      <c r="F12" s="11">
        <f>+F24</f>
        <v>0</v>
      </c>
      <c r="G12" s="11">
        <f>+G24</f>
        <v>120668.49315068492</v>
      </c>
      <c r="H12" s="11">
        <f t="shared" ref="H12:Z12" si="5">+H24</f>
        <v>128399.25479452054</v>
      </c>
      <c r="I12" s="11">
        <f t="shared" si="5"/>
        <v>136706.41692054796</v>
      </c>
      <c r="J12" s="11">
        <f t="shared" si="5"/>
        <v>145637.61518956715</v>
      </c>
      <c r="K12" s="11">
        <f t="shared" si="5"/>
        <v>155244.65201582926</v>
      </c>
      <c r="L12" s="11">
        <f t="shared" si="5"/>
        <v>165583.87127926032</v>
      </c>
      <c r="M12" s="11">
        <f t="shared" si="5"/>
        <v>176716.56716604609</v>
      </c>
      <c r="N12" s="11">
        <f t="shared" si="5"/>
        <v>188709.43026357985</v>
      </c>
      <c r="O12" s="11">
        <f t="shared" si="5"/>
        <v>201635.03432281711</v>
      </c>
      <c r="P12" s="11">
        <f t="shared" si="5"/>
        <v>215572.36741450365</v>
      </c>
      <c r="Q12" s="11">
        <f t="shared" si="5"/>
        <v>230607.41154798478</v>
      </c>
      <c r="R12" s="11">
        <f t="shared" si="5"/>
        <v>246833.77519500014</v>
      </c>
      <c r="S12" s="11">
        <f t="shared" si="5"/>
        <v>264353.38356892503</v>
      </c>
      <c r="T12" s="11">
        <f t="shared" si="5"/>
        <v>283277.23195549019</v>
      </c>
      <c r="U12" s="11">
        <f t="shared" si="5"/>
        <v>303726.20787754841</v>
      </c>
      <c r="V12" s="11">
        <f t="shared" si="5"/>
        <v>325831.98840772209</v>
      </c>
      <c r="W12" s="11">
        <f t="shared" si="5"/>
        <v>349738.0195228894</v>
      </c>
      <c r="X12" s="11">
        <f t="shared" si="5"/>
        <v>375600.58502791834</v>
      </c>
      <c r="Y12" s="11">
        <f t="shared" si="5"/>
        <v>403589.97326776682</v>
      </c>
      <c r="Z12" s="11">
        <f t="shared" si="5"/>
        <v>433891.75060237246</v>
      </c>
    </row>
    <row r="13" spans="2:26" x14ac:dyDescent="0.25">
      <c r="B13" s="2" t="s">
        <v>68</v>
      </c>
      <c r="F13" s="11">
        <f>+F29</f>
        <v>0</v>
      </c>
      <c r="G13" s="11">
        <f>+G29</f>
        <v>74367.123287671231</v>
      </c>
      <c r="H13" s="11">
        <f t="shared" ref="H13:Z13" si="6">+H29</f>
        <v>78171.528767123295</v>
      </c>
      <c r="I13" s="11">
        <f t="shared" si="6"/>
        <v>82204.44475616439</v>
      </c>
      <c r="J13" s="11">
        <f t="shared" si="6"/>
        <v>86482.034429895895</v>
      </c>
      <c r="K13" s="11">
        <f t="shared" si="6"/>
        <v>91021.753583857295</v>
      </c>
      <c r="L13" s="11">
        <f t="shared" si="6"/>
        <v>95842.461779439574</v>
      </c>
      <c r="M13" s="11">
        <f t="shared" si="6"/>
        <v>100964.54340365011</v>
      </c>
      <c r="N13" s="11">
        <f t="shared" si="6"/>
        <v>106410.03954290808</v>
      </c>
      <c r="O13" s="11">
        <f t="shared" si="6"/>
        <v>112202.79165282272</v>
      </c>
      <c r="P13" s="11">
        <f t="shared" si="6"/>
        <v>118368.59809572816</v>
      </c>
      <c r="Q13" s="11">
        <f t="shared" si="6"/>
        <v>124935.38471581471</v>
      </c>
      <c r="R13" s="11">
        <f t="shared" si="6"/>
        <v>131933.39072876045</v>
      </c>
      <c r="S13" s="11">
        <f t="shared" si="6"/>
        <v>139395.37131966083</v>
      </c>
      <c r="T13" s="11">
        <f t="shared" si="6"/>
        <v>147356.81847067818</v>
      </c>
      <c r="U13" s="11">
        <f t="shared" si="6"/>
        <v>155856.20167917345</v>
      </c>
      <c r="V13" s="11">
        <f t="shared" si="6"/>
        <v>164935.23037921806</v>
      </c>
      <c r="W13" s="11">
        <f t="shared" si="6"/>
        <v>174639.14004548918</v>
      </c>
      <c r="X13" s="11">
        <f t="shared" si="6"/>
        <v>185017.00413991258</v>
      </c>
      <c r="Y13" s="11">
        <f t="shared" si="6"/>
        <v>196122.07425943241</v>
      </c>
      <c r="Z13" s="11">
        <f t="shared" si="6"/>
        <v>208012.151059494</v>
      </c>
    </row>
    <row r="14" spans="2:26" x14ac:dyDescent="0.25">
      <c r="B14" t="s">
        <v>78</v>
      </c>
      <c r="F14" s="11">
        <f>-F10+E10</f>
        <v>0</v>
      </c>
      <c r="G14" s="11">
        <f>-G10+F10</f>
        <v>-285643.8356164383</v>
      </c>
      <c r="H14" s="11">
        <f t="shared" ref="H14:Z14" si="7">-H10+G10</f>
        <v>-25945.863013698719</v>
      </c>
      <c r="I14" s="11">
        <f t="shared" si="7"/>
        <v>-28319.547616438475</v>
      </c>
      <c r="J14" s="11">
        <f t="shared" si="7"/>
        <v>-30911.077810849296</v>
      </c>
      <c r="K14" s="11">
        <f t="shared" si="7"/>
        <v>-33740.474055694067</v>
      </c>
      <c r="L14" s="11">
        <f t="shared" si="7"/>
        <v>-36829.597838514252</v>
      </c>
      <c r="M14" s="11">
        <f t="shared" si="7"/>
        <v>-40202.32101614197</v>
      </c>
      <c r="N14" s="11">
        <f t="shared" si="7"/>
        <v>-43884.710733170679</v>
      </c>
      <c r="O14" s="11">
        <f t="shared" si="7"/>
        <v>-47905.231351507828</v>
      </c>
      <c r="P14" s="11">
        <f t="shared" si="7"/>
        <v>-52294.964955967618</v>
      </c>
      <c r="Q14" s="11">
        <f t="shared" si="7"/>
        <v>-57087.85214484192</v>
      </c>
      <c r="R14" s="11">
        <f t="shared" si="7"/>
        <v>-62320.954971610103</v>
      </c>
      <c r="S14" s="11">
        <f t="shared" si="7"/>
        <v>-68034.744075619034</v>
      </c>
      <c r="T14" s="11">
        <f t="shared" si="7"/>
        <v>-74273.412227060762</v>
      </c>
      <c r="U14" s="11">
        <f t="shared" si="7"/>
        <v>-81085.216716295341</v>
      </c>
      <c r="V14" s="11">
        <f t="shared" si="7"/>
        <v>-88522.853241112316</v>
      </c>
      <c r="W14" s="11">
        <f t="shared" si="7"/>
        <v>-96643.864189690212</v>
      </c>
      <c r="X14" s="11">
        <f t="shared" si="7"/>
        <v>-105511.08448355296</v>
      </c>
      <c r="Y14" s="11">
        <f t="shared" si="7"/>
        <v>-115193.12843598705</v>
      </c>
      <c r="Z14" s="11">
        <f t="shared" si="7"/>
        <v>-125764.92139924294</v>
      </c>
    </row>
    <row r="15" spans="2:26" x14ac:dyDescent="0.25">
      <c r="B15" s="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2:26" x14ac:dyDescent="0.25">
      <c r="B16" s="3" t="s">
        <v>67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8" spans="2:26" x14ac:dyDescent="0.25">
      <c r="B18" t="s">
        <v>16</v>
      </c>
      <c r="F18" s="14">
        <f>DRE!F27</f>
        <v>0</v>
      </c>
      <c r="G18" s="14">
        <f>DRE!G27</f>
        <v>17472000</v>
      </c>
      <c r="H18" s="14">
        <f>DRE!H27</f>
        <v>19079424.000000004</v>
      </c>
      <c r="I18" s="14">
        <f>DRE!I27</f>
        <v>20834731.008000009</v>
      </c>
      <c r="J18" s="14">
        <f>DRE!J27</f>
        <v>22751526.260736007</v>
      </c>
      <c r="K18" s="14">
        <f>DRE!K27</f>
        <v>24844666.676723722</v>
      </c>
      <c r="L18" s="14">
        <f>DRE!L27</f>
        <v>27130376.010982301</v>
      </c>
      <c r="M18" s="14">
        <f>DRE!M27</f>
        <v>29626370.603992674</v>
      </c>
      <c r="N18" s="14">
        <f>DRE!N27</f>
        <v>32351996.699559998</v>
      </c>
      <c r="O18" s="14">
        <f>DRE!O27</f>
        <v>35328380.395919524</v>
      </c>
      <c r="P18" s="14">
        <f>DRE!P27</f>
        <v>38578591.392344132</v>
      </c>
      <c r="Q18" s="14">
        <f>DRE!Q27</f>
        <v>42127821.80043979</v>
      </c>
      <c r="R18" s="14">
        <f>DRE!R27</f>
        <v>46003581.406080253</v>
      </c>
      <c r="S18" s="14">
        <f>DRE!S27</f>
        <v>50235910.89543964</v>
      </c>
      <c r="T18" s="14">
        <f>DRE!T27</f>
        <v>54857614.697820097</v>
      </c>
      <c r="U18" s="14">
        <f>DRE!U27</f>
        <v>59904515.25001955</v>
      </c>
      <c r="V18" s="14">
        <f>DRE!V27</f>
        <v>65415730.653021336</v>
      </c>
      <c r="W18" s="14">
        <f>DRE!W27</f>
        <v>71433977.873099312</v>
      </c>
      <c r="X18" s="14">
        <f>DRE!X27</f>
        <v>78005903.837424442</v>
      </c>
      <c r="Y18" s="14">
        <f>DRE!Y27</f>
        <v>85182446.990467519</v>
      </c>
      <c r="Z18" s="14">
        <f>DRE!Z27</f>
        <v>93019232.113590524</v>
      </c>
    </row>
    <row r="19" spans="2:26" x14ac:dyDescent="0.25">
      <c r="B19" t="s">
        <v>73</v>
      </c>
      <c r="C19" s="26">
        <v>5</v>
      </c>
      <c r="F19" s="14">
        <f>F18/F$5*$C19</f>
        <v>0</v>
      </c>
      <c r="G19" s="14">
        <f>G18/G$5*$C19</f>
        <v>239342.46575342465</v>
      </c>
      <c r="H19" s="14">
        <f t="shared" ref="H19:Z19" si="8">H18/H$5*$C19</f>
        <v>261361.97260273976</v>
      </c>
      <c r="I19" s="14">
        <f t="shared" si="8"/>
        <v>285407.27408219193</v>
      </c>
      <c r="J19" s="14">
        <f t="shared" si="8"/>
        <v>311664.74329775351</v>
      </c>
      <c r="K19" s="14">
        <f t="shared" si="8"/>
        <v>340337.8996811469</v>
      </c>
      <c r="L19" s="14">
        <f t="shared" si="8"/>
        <v>371648.98645181238</v>
      </c>
      <c r="M19" s="14">
        <f t="shared" si="8"/>
        <v>405840.69320537912</v>
      </c>
      <c r="N19" s="14">
        <f t="shared" si="8"/>
        <v>443178.03698027396</v>
      </c>
      <c r="O19" s="14">
        <f t="shared" si="8"/>
        <v>483950.41638245923</v>
      </c>
      <c r="P19" s="14">
        <f t="shared" si="8"/>
        <v>528473.8546896457</v>
      </c>
      <c r="Q19" s="14">
        <f t="shared" si="8"/>
        <v>577093.44932109304</v>
      </c>
      <c r="R19" s="14">
        <f t="shared" si="8"/>
        <v>630186.04665863363</v>
      </c>
      <c r="S19" s="14">
        <f t="shared" si="8"/>
        <v>688163.16295122798</v>
      </c>
      <c r="T19" s="14">
        <f t="shared" si="8"/>
        <v>751474.17394274101</v>
      </c>
      <c r="U19" s="14">
        <f t="shared" si="8"/>
        <v>820609.79794547323</v>
      </c>
      <c r="V19" s="14">
        <f t="shared" si="8"/>
        <v>896105.89935645671</v>
      </c>
      <c r="W19" s="14">
        <f t="shared" si="8"/>
        <v>978547.64209725079</v>
      </c>
      <c r="X19" s="14">
        <f t="shared" si="8"/>
        <v>1068574.0251701979</v>
      </c>
      <c r="Y19" s="14">
        <f t="shared" si="8"/>
        <v>1166882.8354858565</v>
      </c>
      <c r="Z19" s="14">
        <f t="shared" si="8"/>
        <v>1274236.0563505553</v>
      </c>
    </row>
    <row r="20" spans="2:26" x14ac:dyDescent="0.25"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2:26" x14ac:dyDescent="0.25">
      <c r="B21" s="3" t="s">
        <v>70</v>
      </c>
      <c r="C21" s="3"/>
      <c r="D21" s="3"/>
      <c r="E21" s="3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2:26" x14ac:dyDescent="0.25"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2:26" x14ac:dyDescent="0.25">
      <c r="B23" t="s">
        <v>71</v>
      </c>
      <c r="F23" s="14">
        <f>-DRE!F43</f>
        <v>0</v>
      </c>
      <c r="G23" s="14">
        <f>-DRE!G43</f>
        <v>6292000</v>
      </c>
      <c r="H23" s="14">
        <f>-DRE!H43</f>
        <v>6695104</v>
      </c>
      <c r="I23" s="14">
        <f>-DRE!I43</f>
        <v>7128263.1680000015</v>
      </c>
      <c r="J23" s="14">
        <f>-DRE!J43</f>
        <v>7593961.3634560006</v>
      </c>
      <c r="K23" s="14">
        <f>-DRE!K43</f>
        <v>8094899.7122539543</v>
      </c>
      <c r="L23" s="14">
        <f>-DRE!L43</f>
        <v>8634016.1452757176</v>
      </c>
      <c r="M23" s="14">
        <f>-DRE!M43</f>
        <v>9214506.7165152598</v>
      </c>
      <c r="N23" s="14">
        <f>-DRE!N43</f>
        <v>9839848.8637438063</v>
      </c>
      <c r="O23" s="14">
        <f>-DRE!O43</f>
        <v>10513826.789689749</v>
      </c>
      <c r="P23" s="14">
        <f>-DRE!P43</f>
        <v>11240559.158041976</v>
      </c>
      <c r="Q23" s="14">
        <f>-DRE!Q43</f>
        <v>12024529.316430636</v>
      </c>
      <c r="R23" s="14">
        <f>-DRE!R43</f>
        <v>12870618.278025007</v>
      </c>
      <c r="S23" s="14">
        <f>-DRE!S43</f>
        <v>13784140.714665376</v>
      </c>
      <c r="T23" s="14">
        <f>-DRE!T43</f>
        <v>14770884.237679131</v>
      </c>
      <c r="U23" s="14">
        <f>-DRE!U43</f>
        <v>15837152.267900739</v>
      </c>
      <c r="V23" s="14">
        <f>-DRE!V43</f>
        <v>16989810.824116938</v>
      </c>
      <c r="W23" s="14">
        <f>-DRE!W43</f>
        <v>18236339.589407805</v>
      </c>
      <c r="X23" s="14">
        <f>-DRE!X43</f>
        <v>19584887.647884313</v>
      </c>
      <c r="Y23" s="14">
        <f>-DRE!Y43</f>
        <v>21044334.320390698</v>
      </c>
      <c r="Z23" s="14">
        <f>-DRE!Z43</f>
        <v>22624355.567123707</v>
      </c>
    </row>
    <row r="24" spans="2:26" x14ac:dyDescent="0.25">
      <c r="B24" t="s">
        <v>74</v>
      </c>
      <c r="C24" s="26">
        <v>7</v>
      </c>
      <c r="F24" s="14">
        <f>F23/F$5*$C24</f>
        <v>0</v>
      </c>
      <c r="G24" s="14">
        <f t="shared" ref="G24:Z24" si="9">G23/G$5*$C24</f>
        <v>120668.49315068492</v>
      </c>
      <c r="H24" s="14">
        <f t="shared" si="9"/>
        <v>128399.25479452054</v>
      </c>
      <c r="I24" s="14">
        <f t="shared" si="9"/>
        <v>136706.41692054796</v>
      </c>
      <c r="J24" s="14">
        <f t="shared" si="9"/>
        <v>145637.61518956715</v>
      </c>
      <c r="K24" s="14">
        <f t="shared" si="9"/>
        <v>155244.65201582926</v>
      </c>
      <c r="L24" s="14">
        <f t="shared" si="9"/>
        <v>165583.87127926032</v>
      </c>
      <c r="M24" s="14">
        <f t="shared" si="9"/>
        <v>176716.56716604609</v>
      </c>
      <c r="N24" s="14">
        <f t="shared" si="9"/>
        <v>188709.43026357985</v>
      </c>
      <c r="O24" s="14">
        <f t="shared" si="9"/>
        <v>201635.03432281711</v>
      </c>
      <c r="P24" s="14">
        <f t="shared" si="9"/>
        <v>215572.36741450365</v>
      </c>
      <c r="Q24" s="14">
        <f t="shared" si="9"/>
        <v>230607.41154798478</v>
      </c>
      <c r="R24" s="14">
        <f t="shared" si="9"/>
        <v>246833.77519500014</v>
      </c>
      <c r="S24" s="14">
        <f t="shared" si="9"/>
        <v>264353.38356892503</v>
      </c>
      <c r="T24" s="14">
        <f t="shared" si="9"/>
        <v>283277.23195549019</v>
      </c>
      <c r="U24" s="14">
        <f t="shared" si="9"/>
        <v>303726.20787754841</v>
      </c>
      <c r="V24" s="14">
        <f t="shared" si="9"/>
        <v>325831.98840772209</v>
      </c>
      <c r="W24" s="14">
        <f t="shared" si="9"/>
        <v>349738.0195228894</v>
      </c>
      <c r="X24" s="14">
        <f t="shared" si="9"/>
        <v>375600.58502791834</v>
      </c>
      <c r="Y24" s="14">
        <f t="shared" si="9"/>
        <v>403589.97326776682</v>
      </c>
      <c r="Z24" s="14">
        <f t="shared" si="9"/>
        <v>433891.75060237246</v>
      </c>
    </row>
    <row r="25" spans="2:26" x14ac:dyDescent="0.25"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2:26" x14ac:dyDescent="0.25">
      <c r="B26" s="3" t="s">
        <v>68</v>
      </c>
      <c r="C26" s="3"/>
      <c r="D26" s="3"/>
      <c r="E26" s="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2:26" x14ac:dyDescent="0.25"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2:26" x14ac:dyDescent="0.25">
      <c r="B28" t="s">
        <v>72</v>
      </c>
      <c r="F28" s="14">
        <f>-DRE!F43-DRE!F60</f>
        <v>0</v>
      </c>
      <c r="G28" s="14">
        <f>-DRE!G43-DRE!G60</f>
        <v>13572000</v>
      </c>
      <c r="H28" s="14">
        <f>-DRE!H43-DRE!H60</f>
        <v>14266304</v>
      </c>
      <c r="I28" s="14">
        <f>-DRE!I43-DRE!I60</f>
        <v>15002311.168000001</v>
      </c>
      <c r="J28" s="14">
        <f>-DRE!J43-DRE!J60</f>
        <v>15782971.283456001</v>
      </c>
      <c r="K28" s="14">
        <f>-DRE!K43-DRE!K60</f>
        <v>16611470.029053956</v>
      </c>
      <c r="L28" s="14">
        <f>-DRE!L43-DRE!L60</f>
        <v>17491249.274747722</v>
      </c>
      <c r="M28" s="14">
        <f>-DRE!M43-DRE!M60</f>
        <v>18426029.171166144</v>
      </c>
      <c r="N28" s="14">
        <f>-DRE!N43-DRE!N60</f>
        <v>19419832.216580726</v>
      </c>
      <c r="O28" s="14">
        <f>-DRE!O43-DRE!O60</f>
        <v>20477009.476640146</v>
      </c>
      <c r="P28" s="14">
        <f>-DRE!P43-DRE!P60</f>
        <v>21602269.152470388</v>
      </c>
      <c r="Q28" s="14">
        <f>-DRE!Q43-DRE!Q60</f>
        <v>22800707.710636184</v>
      </c>
      <c r="R28" s="14">
        <f>-DRE!R43-DRE!R60</f>
        <v>24077843.80799878</v>
      </c>
      <c r="S28" s="14">
        <f>-DRE!S43-DRE!S60</f>
        <v>25439655.265838102</v>
      </c>
      <c r="T28" s="14">
        <f>-DRE!T43-DRE!T60</f>
        <v>26892619.370898765</v>
      </c>
      <c r="U28" s="14">
        <f>-DRE!U43-DRE!U60</f>
        <v>28443756.806449153</v>
      </c>
      <c r="V28" s="14">
        <f>-DRE!V43-DRE!V60</f>
        <v>30100679.544207297</v>
      </c>
      <c r="W28" s="14">
        <f>-DRE!W43-DRE!W60</f>
        <v>31871643.058301777</v>
      </c>
      <c r="X28" s="14">
        <f>-DRE!X43-DRE!X60</f>
        <v>33765603.255534045</v>
      </c>
      <c r="Y28" s="14">
        <f>-DRE!Y43-DRE!Y60</f>
        <v>35792278.552346416</v>
      </c>
      <c r="Z28" s="14">
        <f>-DRE!Z43-DRE!Z60</f>
        <v>37962217.568357654</v>
      </c>
    </row>
    <row r="29" spans="2:26" x14ac:dyDescent="0.25">
      <c r="B29" t="s">
        <v>75</v>
      </c>
      <c r="C29" s="26">
        <v>2</v>
      </c>
      <c r="F29" s="14">
        <f>F28/F$5*$C29</f>
        <v>0</v>
      </c>
      <c r="G29" s="14">
        <f t="shared" ref="G29:Z29" si="10">G28/G$5*$C29</f>
        <v>74367.123287671231</v>
      </c>
      <c r="H29" s="14">
        <f t="shared" si="10"/>
        <v>78171.528767123295</v>
      </c>
      <c r="I29" s="14">
        <f t="shared" si="10"/>
        <v>82204.44475616439</v>
      </c>
      <c r="J29" s="14">
        <f t="shared" si="10"/>
        <v>86482.034429895895</v>
      </c>
      <c r="K29" s="14">
        <f t="shared" si="10"/>
        <v>91021.753583857295</v>
      </c>
      <c r="L29" s="14">
        <f t="shared" si="10"/>
        <v>95842.461779439574</v>
      </c>
      <c r="M29" s="14">
        <f t="shared" si="10"/>
        <v>100964.54340365011</v>
      </c>
      <c r="N29" s="14">
        <f t="shared" si="10"/>
        <v>106410.03954290808</v>
      </c>
      <c r="O29" s="14">
        <f t="shared" si="10"/>
        <v>112202.79165282272</v>
      </c>
      <c r="P29" s="14">
        <f t="shared" si="10"/>
        <v>118368.59809572816</v>
      </c>
      <c r="Q29" s="14">
        <f t="shared" si="10"/>
        <v>124935.38471581471</v>
      </c>
      <c r="R29" s="14">
        <f t="shared" si="10"/>
        <v>131933.39072876045</v>
      </c>
      <c r="S29" s="14">
        <f t="shared" si="10"/>
        <v>139395.37131966083</v>
      </c>
      <c r="T29" s="14">
        <f t="shared" si="10"/>
        <v>147356.81847067818</v>
      </c>
      <c r="U29" s="14">
        <f t="shared" si="10"/>
        <v>155856.20167917345</v>
      </c>
      <c r="V29" s="14">
        <f t="shared" si="10"/>
        <v>164935.23037921806</v>
      </c>
      <c r="W29" s="14">
        <f t="shared" si="10"/>
        <v>174639.14004548918</v>
      </c>
      <c r="X29" s="14">
        <f t="shared" si="10"/>
        <v>185017.00413991258</v>
      </c>
      <c r="Y29" s="14">
        <f t="shared" si="10"/>
        <v>196122.07425943241</v>
      </c>
      <c r="Z29" s="14">
        <f t="shared" si="10"/>
        <v>208012.151059494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7b3ca17-8266-4310-b429-138dddfad5f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A340D538E69F46A98AF56494FD0D2C" ma:contentTypeVersion="16" ma:contentTypeDescription="Crie um novo documento." ma:contentTypeScope="" ma:versionID="02baf6ceb2246298ebc8ec86677814df">
  <xsd:schema xmlns:xsd="http://www.w3.org/2001/XMLSchema" xmlns:xs="http://www.w3.org/2001/XMLSchema" xmlns:p="http://schemas.microsoft.com/office/2006/metadata/properties" xmlns:ns3="c7b3ca17-8266-4310-b429-138dddfad5f1" xmlns:ns4="1086e85c-b24a-4dc7-ab57-ce08e798dc3f" targetNamespace="http://schemas.microsoft.com/office/2006/metadata/properties" ma:root="true" ma:fieldsID="909a6ce51dd9c22c1ddf0013f563d28e" ns3:_="" ns4:_="">
    <xsd:import namespace="c7b3ca17-8266-4310-b429-138dddfad5f1"/>
    <xsd:import namespace="1086e85c-b24a-4dc7-ab57-ce08e798dc3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Location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3ca17-8266-4310-b429-138dddfad5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86e85c-b24a-4dc7-ab57-ce08e798dc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9ACF5C-C25D-4095-935F-44493ED60DD1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1086e85c-b24a-4dc7-ab57-ce08e798dc3f"/>
    <ds:schemaRef ds:uri="http://schemas.microsoft.com/office/infopath/2007/PartnerControls"/>
    <ds:schemaRef ds:uri="c7b3ca17-8266-4310-b429-138dddfad5f1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9496647-5956-49A9-835E-C1E1A56219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391F70-E68D-455C-8167-73E216F9F0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b3ca17-8266-4310-b429-138dddfad5f1"/>
    <ds:schemaRef ds:uri="1086e85c-b24a-4dc7-ab57-ce08e798dc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Premissas</vt:lpstr>
      <vt:lpstr>DRE</vt:lpstr>
      <vt:lpstr>Balanço</vt:lpstr>
      <vt:lpstr>Fluxo de Caixa</vt:lpstr>
      <vt:lpstr>Investimentos</vt:lpstr>
      <vt:lpstr>Dívida</vt:lpstr>
      <vt:lpstr>Capital de Giro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Duarte Junior</dc:creator>
  <cp:lastModifiedBy>Marco Antonio Duarte Junior</cp:lastModifiedBy>
  <dcterms:created xsi:type="dcterms:W3CDTF">2024-04-03T18:37:09Z</dcterms:created>
  <dcterms:modified xsi:type="dcterms:W3CDTF">2024-04-05T20:41:44Z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0x0101009DA340D538E69F46A98AF56494FD0D2C</vt:lpwstr>
  </property>
  <property fmtid="{D5CDD505-2E9C-101B-9397-08002B2CF9AE}" pid="3" name="MSIP_Label_cad58c76-fd94-422c-84ae-5930ae9e51dd_Enabled">
    <vt:lpwstr>true</vt:lpwstr>
  </property>
  <property fmtid="{D5CDD505-2E9C-101B-9397-08002B2CF9AE}" pid="4" name="MSIP_Label_cad58c76-fd94-422c-84ae-5930ae9e51dd_SetDate">
    <vt:lpwstr>2024-04-03T20:32:24Z</vt:lpwstr>
  </property>
  <property fmtid="{D5CDD505-2E9C-101B-9397-08002B2CF9AE}" pid="5" name="MSIP_Label_cad58c76-fd94-422c-84ae-5930ae9e51dd_Method">
    <vt:lpwstr>Privileged</vt:lpwstr>
  </property>
  <property fmtid="{D5CDD505-2E9C-101B-9397-08002B2CF9AE}" pid="6" name="MSIP_Label_cad58c76-fd94-422c-84ae-5930ae9e51dd_Name">
    <vt:lpwstr>Pública</vt:lpwstr>
  </property>
  <property fmtid="{D5CDD505-2E9C-101B-9397-08002B2CF9AE}" pid="7" name="MSIP_Label_cad58c76-fd94-422c-84ae-5930ae9e51dd_SiteId">
    <vt:lpwstr>72b5f416-8f41-4c88-a6a0-bb4b91383888</vt:lpwstr>
  </property>
  <property fmtid="{D5CDD505-2E9C-101B-9397-08002B2CF9AE}" pid="8" name="MSIP_Label_cad58c76-fd94-422c-84ae-5930ae9e51dd_ActionId">
    <vt:lpwstr>51f89099-4895-4556-a82f-7fe02ad1e1c5</vt:lpwstr>
  </property>
  <property fmtid="{D5CDD505-2E9C-101B-9397-08002B2CF9AE}" pid="9" name="MSIP_Label_cad58c76-fd94-422c-84ae-5930ae9e51dd_ContentBits">
    <vt:lpwstr>0</vt:lpwstr>
  </property>
</Properties>
</file>